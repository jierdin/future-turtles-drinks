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4" autoFilterDateGrouping="1"/>
  </bookViews>
  <sheets>
    <sheet xmlns:r="http://schemas.openxmlformats.org/officeDocument/2006/relationships" name="Start Here" sheetId="1" state="visible" r:id="rId1"/>
    <sheet xmlns:r="http://schemas.openxmlformats.org/officeDocument/2006/relationships" name="Dirty Soda - Built Drinks" sheetId="2" state="visible" r:id="rId2"/>
    <sheet xmlns:r="http://schemas.openxmlformats.org/officeDocument/2006/relationships" name="Jug Recipes" sheetId="3" state="visible" r:id="rId3"/>
    <sheet xmlns:r="http://schemas.openxmlformats.org/officeDocument/2006/relationships" name="Jug Build Steps" sheetId="4" state="visible" r:id="rId4"/>
    <sheet xmlns:r="http://schemas.openxmlformats.org/officeDocument/2006/relationships" name="Camp Drinks" sheetId="5" state="visible" r:id="rId5"/>
    <sheet xmlns:r="http://schemas.openxmlformats.org/officeDocument/2006/relationships" name="Assumptions" sheetId="6" state="visible" r:id="rId6"/>
    <sheet xmlns:r="http://schemas.openxmlformats.org/officeDocument/2006/relationships" name="Ingredient Pricing" sheetId="7" state="visible" r:id="rId7"/>
    <sheet xmlns:r="http://schemas.openxmlformats.org/officeDocument/2006/relationships" name="Totals by Type" sheetId="8" state="visible" r:id="rId8"/>
    <sheet xmlns:r="http://schemas.openxmlformats.org/officeDocument/2006/relationships" name="Beverage Lines" sheetId="9" state="visible" r:id="rId9"/>
    <sheet xmlns:r="http://schemas.openxmlformats.org/officeDocument/2006/relationships" name="Packaged Prices" sheetId="10" state="visible" r:id="rId10"/>
    <sheet xmlns:r="http://schemas.openxmlformats.org/officeDocument/2006/relationships" name="Packaged Sizing" sheetId="11" state="visible" r:id="rId11"/>
    <sheet xmlns:r="http://schemas.openxmlformats.org/officeDocument/2006/relationships" name="Base Soda — Cans" sheetId="12" state="visible" r:id="rId12"/>
    <sheet xmlns:r="http://schemas.openxmlformats.org/officeDocument/2006/relationships" name="Other Consumables" sheetId="13" state="visible" r:id="rId13"/>
    <sheet xmlns:r="http://schemas.openxmlformats.org/officeDocument/2006/relationships" name="Purchase List" sheetId="14" state="visible" r:id="rId14"/>
    <sheet xmlns:r="http://schemas.openxmlformats.org/officeDocument/2006/relationships" name="Supplies" sheetId="15" state="visible" r:id="rId15"/>
    <sheet xmlns:r="http://schemas.openxmlformats.org/officeDocument/2006/relationships" name="Daily Schedule" sheetId="16" state="visible" r:id="rId16"/>
    <sheet xmlns:r="http://schemas.openxmlformats.org/officeDocument/2006/relationships" name="Service Availability" sheetId="17" state="visible" r:id="rId17"/>
    <sheet xmlns:r="http://schemas.openxmlformats.org/officeDocument/2006/relationships" name="Bar Add-Ons" sheetId="18" state="visible" r:id="rId18"/>
    <sheet xmlns:r="http://schemas.openxmlformats.org/officeDocument/2006/relationships" name="Menu Board" sheetId="19" state="visible" r:id="rId19"/>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0%"/>
    <numFmt numFmtId="165" formatCode="0.0"/>
    <numFmt numFmtId="166" formatCode="\$#,##0.00"/>
    <numFmt numFmtId="167" formatCode="\$#,##0.000"/>
    <numFmt numFmtId="168" formatCode="\$#,##0"/>
    <numFmt numFmtId="169" formatCode="#,##0.0"/>
  </numFmts>
  <fonts count="26">
    <font>
      <name val="Calibri"/>
      <charset val="1"/>
      <family val="0"/>
      <color rgb="FF000000"/>
      <sz val="11"/>
    </font>
    <font>
      <name val="Arial"/>
      <family val="0"/>
      <sz val="10"/>
    </font>
    <font>
      <name val="Arial"/>
      <family val="0"/>
      <sz val="10"/>
    </font>
    <font>
      <name val="Arial"/>
      <family val="0"/>
      <sz val="10"/>
    </font>
    <font>
      <name val="Cambria"/>
      <charset val="1"/>
      <family val="0"/>
      <b val="1"/>
      <color rgb="FFFFFFFF"/>
      <sz val="14"/>
    </font>
    <font>
      <name val="Cambria"/>
      <charset val="1"/>
      <family val="0"/>
      <sz val="9"/>
    </font>
    <font>
      <name val="Cambria"/>
      <charset val="1"/>
      <family val="0"/>
      <b val="1"/>
      <sz val="11"/>
    </font>
    <font>
      <name val="Cambria"/>
      <charset val="1"/>
      <family val="0"/>
      <b val="1"/>
      <color rgb="FF9B2226"/>
      <sz val="11"/>
    </font>
    <font>
      <name val="Arial"/>
      <charset val="1"/>
      <family val="0"/>
      <b val="1"/>
      <color rgb="FFFFFFFF"/>
      <sz val="14"/>
    </font>
    <font>
      <name val="Arial"/>
      <charset val="1"/>
      <family val="0"/>
      <b val="1"/>
      <color rgb="FFFFFFFF"/>
      <sz val="11"/>
    </font>
    <font>
      <name val="Arial"/>
      <charset val="1"/>
      <family val="0"/>
      <color rgb="FF000000"/>
      <sz val="10"/>
    </font>
    <font>
      <name val="Arial"/>
      <charset val="1"/>
      <family val="0"/>
      <color rgb="FF0000FF"/>
      <sz val="10"/>
    </font>
    <font>
      <name val="Calibri"/>
      <charset val="1"/>
      <family val="0"/>
      <color theme="1"/>
      <sz val="11"/>
    </font>
    <font>
      <name val="Cambria"/>
      <charset val="1"/>
      <family val="0"/>
      <color rgb="FF0000FF"/>
      <sz val="10"/>
    </font>
    <font>
      <name val="Cambria"/>
      <charset val="1"/>
      <family val="0"/>
      <sz val="10"/>
    </font>
    <font>
      <name val="Arial"/>
      <charset val="1"/>
      <family val="0"/>
      <b val="1"/>
      <color rgb="FF000000"/>
      <sz val="10"/>
    </font>
    <font>
      <name val="Cambria"/>
      <charset val="1"/>
      <family val="0"/>
      <b val="1"/>
      <sz val="10"/>
    </font>
    <font>
      <name val="Cambria"/>
      <charset val="1"/>
      <family val="0"/>
      <b val="1"/>
      <color rgb="FFFFFFFF"/>
      <sz val="11"/>
    </font>
    <font>
      <name val="Cambria"/>
      <charset val="1"/>
      <family val="0"/>
      <b val="1"/>
      <color rgb="FF9B2226"/>
      <sz val="9"/>
    </font>
    <font>
      <name val="Cambria"/>
      <charset val="1"/>
      <family val="0"/>
      <i val="1"/>
      <sz val="9"/>
    </font>
    <font>
      <name val="Cambria"/>
      <charset val="1"/>
      <family val="0"/>
      <i val="1"/>
      <sz val="10"/>
    </font>
    <font>
      <name val="Arial"/>
      <charset val="1"/>
      <family val="0"/>
      <i val="1"/>
      <color rgb="FF000000"/>
      <sz val="9"/>
    </font>
    <font>
      <name val="Cambria"/>
      <charset val="1"/>
      <family val="0"/>
      <sz val="11"/>
    </font>
    <font>
      <name val="Arial"/>
      <charset val="1"/>
      <family val="0"/>
      <b val="1"/>
      <color rgb="FF2A6099"/>
      <sz val="10"/>
    </font>
    <font>
      <name val="Calibri"/>
      <charset val="1"/>
      <family val="0"/>
      <color rgb="FF2A6099"/>
      <sz val="11"/>
    </font>
    <font>
      <name val="Cambria"/>
      <charset val="1"/>
      <family val="0"/>
      <i val="1"/>
      <color rgb="FF9B2226"/>
      <sz val="9"/>
    </font>
  </fonts>
  <fills count="10">
    <fill>
      <patternFill/>
    </fill>
    <fill>
      <patternFill patternType="gray125"/>
    </fill>
    <fill>
      <patternFill patternType="solid">
        <fgColor rgb="FF2F3E46"/>
        <bgColor rgb="FF333300"/>
      </patternFill>
    </fill>
    <fill>
      <patternFill patternType="solid">
        <fgColor rgb="FF52796F"/>
        <bgColor rgb="FF808080"/>
      </patternFill>
    </fill>
    <fill>
      <patternFill patternType="solid">
        <fgColor rgb="FFFFF3B0"/>
        <bgColor rgb="FFFFEB9C"/>
      </patternFill>
    </fill>
    <fill>
      <patternFill patternType="solid">
        <fgColor rgb="FFCAD2C5"/>
        <bgColor rgb="FFD9D9D9"/>
      </patternFill>
    </fill>
    <fill>
      <patternFill patternType="solid">
        <fgColor rgb="FF81ACA6"/>
        <bgColor rgb="FFB0B0B0"/>
      </patternFill>
    </fill>
    <fill>
      <patternFill patternType="solid">
        <fgColor rgb="FFFFFF00"/>
        <bgColor rgb="FFFFFF00"/>
      </patternFill>
    </fill>
    <fill>
      <patternFill patternType="solid">
        <fgColor rgb="FFD9D9D9"/>
        <bgColor rgb="FFCAD2C5"/>
      </patternFill>
    </fill>
    <fill>
      <patternFill patternType="solid">
        <fgColor rgb="FFD8F3DC"/>
        <bgColor rgb="FFC6EFCE"/>
      </patternFill>
    </fill>
  </fills>
  <borders count="6">
    <border>
      <left/>
      <right/>
      <top/>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
      <left/>
      <right style="thin"/>
      <top/>
      <bottom style="thin"/>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0" fillId="0" borderId="0" applyAlignment="1" pivotButton="0" quotePrefix="0" xfId="0">
      <alignment horizontal="general" vertical="bottom"/>
    </xf>
    <xf numFmtId="0" fontId="17" fillId="3" borderId="0" applyAlignment="1" pivotButton="0" quotePrefix="0" xfId="0">
      <alignment horizontal="general" vertical="bottom"/>
    </xf>
    <xf numFmtId="0" fontId="18" fillId="0" borderId="0" applyAlignment="1" pivotButton="0" quotePrefix="0" xfId="0">
      <alignment horizontal="general" vertical="top" wrapText="1"/>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5" fillId="0" borderId="0" applyAlignment="1" pivotButton="0" quotePrefix="0" xfId="0">
      <alignment horizontal="general" vertical="bottom"/>
    </xf>
    <xf numFmtId="0" fontId="21" fillId="0" borderId="0" applyAlignment="1" pivotButton="0" quotePrefix="0" xfId="0">
      <alignment horizontal="general" vertical="top" wrapText="1"/>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6" fillId="0" borderId="0" applyAlignment="1" pivotButton="0" quotePrefix="0" xfId="0">
      <alignment horizontal="general" vertical="bottom"/>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7" fillId="3"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16" fillId="0" borderId="0"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left" vertical="center"/>
    </xf>
    <xf numFmtId="0" fontId="9" fillId="3" borderId="1" applyAlignment="1" pivotButton="0" quotePrefix="0" xfId="0">
      <alignment horizontal="center" vertical="center" wrapText="1"/>
    </xf>
    <xf numFmtId="0" fontId="10" fillId="0" borderId="1" applyAlignment="1" pivotButton="0" quotePrefix="0" xfId="0">
      <alignment horizontal="left" vertical="center"/>
    </xf>
    <xf numFmtId="1" fontId="11" fillId="4" borderId="1" applyAlignment="1" pivotButton="0" quotePrefix="0" xfId="0">
      <alignment horizontal="center" vertical="center"/>
    </xf>
    <xf numFmtId="164" fontId="10" fillId="0" borderId="1" applyAlignment="1" pivotButton="0" quotePrefix="0" xfId="0">
      <alignment horizontal="center" vertical="center"/>
    </xf>
    <xf numFmtId="165" fontId="11" fillId="4" borderId="1" applyAlignment="1" pivotButton="0" quotePrefix="0" xfId="0">
      <alignment horizontal="center" vertical="center"/>
    </xf>
    <xf numFmtId="0" fontId="10" fillId="0" borderId="1" applyAlignment="1" pivotButton="0" quotePrefix="0" xfId="0">
      <alignment horizontal="left" vertical="center" wrapText="1"/>
    </xf>
    <xf numFmtId="165" fontId="10" fillId="0" borderId="1" applyAlignment="1" pivotButton="0" quotePrefix="0" xfId="0">
      <alignment horizontal="center" vertical="center"/>
    </xf>
    <xf numFmtId="0" fontId="12" fillId="0" borderId="0" applyAlignment="1" pivotButton="0" quotePrefix="0" xfId="0">
      <alignment horizontal="general" vertical="bottom"/>
    </xf>
    <xf numFmtId="1" fontId="13" fillId="4" borderId="1" applyAlignment="1" pivotButton="0" quotePrefix="0" xfId="0">
      <alignment horizontal="center" vertical="center"/>
    </xf>
    <xf numFmtId="0" fontId="5" fillId="0" borderId="1" applyAlignment="1" pivotButton="0" quotePrefix="0" xfId="0">
      <alignment horizontal="general" vertical="top" wrapText="1"/>
    </xf>
    <xf numFmtId="0" fontId="14" fillId="5" borderId="1" applyAlignment="1" pivotButton="0" quotePrefix="0" xfId="0">
      <alignment horizontal="left" vertical="center"/>
    </xf>
    <xf numFmtId="0" fontId="15" fillId="5" borderId="1" applyAlignment="1" pivotButton="0" quotePrefix="0" xfId="0">
      <alignment horizontal="left" vertical="center"/>
    </xf>
    <xf numFmtId="0" fontId="5" fillId="5" borderId="1" applyAlignment="1" pivotButton="0" quotePrefix="0" xfId="0">
      <alignment horizontal="general" vertical="top" wrapText="1"/>
    </xf>
    <xf numFmtId="1" fontId="15" fillId="5" borderId="1" applyAlignment="1" pivotButton="0" quotePrefix="0" xfId="0">
      <alignment horizontal="center" vertical="center"/>
    </xf>
    <xf numFmtId="0" fontId="16" fillId="0" borderId="0" applyAlignment="1" pivotButton="0" quotePrefix="0" xfId="0">
      <alignment horizontal="general" vertical="bottom"/>
    </xf>
    <xf numFmtId="0" fontId="13" fillId="4" borderId="0" applyAlignment="1" pivotButton="0" quotePrefix="0" xfId="0">
      <alignment horizontal="general" vertical="bottom"/>
    </xf>
    <xf numFmtId="0" fontId="10" fillId="0" borderId="0" applyAlignment="1" pivotButton="0" quotePrefix="0" xfId="0">
      <alignment horizontal="general" vertical="bottom"/>
    </xf>
    <xf numFmtId="0" fontId="17" fillId="3" borderId="0" applyAlignment="1" pivotButton="0" quotePrefix="0" xfId="0">
      <alignment horizontal="general" vertical="top" wrapText="1"/>
    </xf>
    <xf numFmtId="1" fontId="6" fillId="0" borderId="0" applyAlignment="1" pivotButton="0" quotePrefix="0" xfId="0">
      <alignment horizontal="general" vertical="bottom"/>
    </xf>
    <xf numFmtId="1" fontId="0" fillId="0" borderId="0" applyAlignment="1" pivotButton="0" quotePrefix="0" xfId="0">
      <alignment horizontal="general" vertical="bottom"/>
    </xf>
    <xf numFmtId="0" fontId="18" fillId="0" borderId="0" applyAlignment="1" pivotButton="0" quotePrefix="0" xfId="0">
      <alignment horizontal="general" vertical="top" wrapText="1"/>
    </xf>
    <xf numFmtId="0" fontId="5" fillId="0" borderId="0" applyAlignment="1" pivotButton="0" quotePrefix="0" xfId="0">
      <alignment horizontal="left" vertical="top" wrapText="1"/>
    </xf>
    <xf numFmtId="0" fontId="17" fillId="3" borderId="2" applyAlignment="1" pivotButton="0" quotePrefix="0" xfId="0">
      <alignment horizontal="center" vertical="center" wrapText="1"/>
    </xf>
    <xf numFmtId="0" fontId="14" fillId="0" borderId="2" applyAlignment="1" pivotButton="0" quotePrefix="0" xfId="0">
      <alignment horizontal="general" vertical="bottom"/>
    </xf>
    <xf numFmtId="165" fontId="14" fillId="0" borderId="2" applyAlignment="1" pivotButton="0" quotePrefix="0" xfId="0">
      <alignment horizontal="center" vertical="bottom"/>
    </xf>
    <xf numFmtId="1" fontId="14" fillId="0" borderId="2" applyAlignment="1" pivotButton="0" quotePrefix="0" xfId="0">
      <alignment horizontal="center" vertical="bottom"/>
    </xf>
    <xf numFmtId="0" fontId="14" fillId="0" borderId="2" applyAlignment="1" pivotButton="0" quotePrefix="0" xfId="0">
      <alignment horizontal="center" vertical="bottom"/>
    </xf>
    <xf numFmtId="166" fontId="14" fillId="0" borderId="2" applyAlignment="1" pivotButton="0" quotePrefix="0" xfId="0">
      <alignment horizontal="center" vertical="bottom"/>
    </xf>
    <xf numFmtId="0" fontId="5" fillId="0" borderId="2" applyAlignment="1" pivotButton="0" quotePrefix="0" xfId="0">
      <alignment horizontal="left" vertical="top" wrapText="1"/>
    </xf>
    <xf numFmtId="0" fontId="5" fillId="0" borderId="2" applyAlignment="1" pivotButton="0" quotePrefix="0" xfId="0">
      <alignment horizontal="general" vertical="top" wrapText="1"/>
    </xf>
    <xf numFmtId="0" fontId="16" fillId="6" borderId="2" applyAlignment="1" pivotButton="0" quotePrefix="0" xfId="0">
      <alignment horizontal="general" vertical="bottom"/>
    </xf>
    <xf numFmtId="1" fontId="16" fillId="6" borderId="2" applyAlignment="1" pivotButton="0" quotePrefix="0" xfId="0">
      <alignment horizontal="center" vertical="bottom"/>
    </xf>
    <xf numFmtId="1" fontId="16" fillId="6" borderId="2" applyAlignment="1" pivotButton="0" quotePrefix="0" xfId="0">
      <alignment horizontal="general" vertical="bottom"/>
    </xf>
    <xf numFmtId="166" fontId="16" fillId="6" borderId="2" applyAlignment="1" pivotButton="0" quotePrefix="0" xfId="0">
      <alignment horizontal="general" vertical="bottom"/>
    </xf>
    <xf numFmtId="166" fontId="16" fillId="6" borderId="2" applyAlignment="1" pivotButton="0" quotePrefix="0" xfId="0">
      <alignment horizontal="center" vertical="bottom"/>
    </xf>
    <xf numFmtId="0" fontId="18" fillId="6" borderId="2" applyAlignment="1" pivotButton="0" quotePrefix="0" xfId="0">
      <alignment horizontal="general" vertical="top" wrapText="1"/>
    </xf>
    <xf numFmtId="0" fontId="17" fillId="3" borderId="0" applyAlignment="1" pivotButton="0" quotePrefix="0" xfId="0">
      <alignment horizontal="general" vertical="bottom"/>
    </xf>
    <xf numFmtId="0" fontId="15" fillId="0" borderId="0" applyAlignment="1" pivotButton="0" quotePrefix="0" xfId="0">
      <alignment horizontal="general" vertical="bottom"/>
    </xf>
    <xf numFmtId="0" fontId="9" fillId="3" borderId="1" applyAlignment="1" pivotButton="0" quotePrefix="0" xfId="0">
      <alignment horizontal="center" vertical="center"/>
    </xf>
    <xf numFmtId="0" fontId="11" fillId="4" borderId="1" applyAlignment="1" pivotButton="0" quotePrefix="0" xfId="0">
      <alignment horizontal="center" vertical="center"/>
    </xf>
    <xf numFmtId="0" fontId="13" fillId="4" borderId="1" applyAlignment="1" pivotButton="0" quotePrefix="0" xfId="0">
      <alignment horizontal="center" vertical="center"/>
    </xf>
    <xf numFmtId="166" fontId="13" fillId="4" borderId="1" applyAlignment="1" pivotButton="0" quotePrefix="0" xfId="0">
      <alignment horizontal="center" vertical="center"/>
    </xf>
    <xf numFmtId="166" fontId="11" fillId="4" borderId="1" applyAlignment="1" pivotButton="0" quotePrefix="0" xfId="0">
      <alignment horizontal="center" vertical="center"/>
    </xf>
    <xf numFmtId="0" fontId="0" fillId="0" borderId="1" applyAlignment="1" pivotButton="0" quotePrefix="0" xfId="0">
      <alignment horizontal="left" vertical="center"/>
    </xf>
    <xf numFmtId="166" fontId="13" fillId="4" borderId="0" applyAlignment="1" pivotButton="0" quotePrefix="0" xfId="0">
      <alignment horizontal="general" vertical="bottom"/>
    </xf>
    <xf numFmtId="165" fontId="0" fillId="0" borderId="0" applyAlignment="1" pivotButton="0" quotePrefix="0" xfId="0">
      <alignment horizontal="general" vertical="bottom"/>
    </xf>
    <xf numFmtId="9" fontId="13" fillId="4" borderId="0" applyAlignment="1" pivotButton="0" quotePrefix="0" xfId="0">
      <alignment horizontal="general" vertical="bottom"/>
    </xf>
    <xf numFmtId="1" fontId="13" fillId="4" borderId="0" applyAlignment="1" pivotButton="0" quotePrefix="0" xfId="0">
      <alignment horizontal="general" vertical="bottom"/>
    </xf>
    <xf numFmtId="165" fontId="13" fillId="4" borderId="0" applyAlignment="1" pivotButton="0" quotePrefix="0" xfId="0">
      <alignment horizontal="general" vertical="bottom"/>
    </xf>
    <xf numFmtId="166" fontId="0" fillId="0" borderId="0" applyAlignment="1" pivotButton="0" quotePrefix="0" xfId="0">
      <alignment horizontal="general" vertical="bottom"/>
    </xf>
    <xf numFmtId="2" fontId="13" fillId="4" borderId="0" applyAlignment="1" pivotButton="0" quotePrefix="0" xfId="0">
      <alignment horizontal="general" vertical="bottom"/>
    </xf>
    <xf numFmtId="0" fontId="14" fillId="0" borderId="0" applyAlignment="1" pivotButton="0" quotePrefix="0" xfId="0">
      <alignment horizontal="general" vertical="bottom"/>
    </xf>
    <xf numFmtId="166" fontId="14" fillId="0" borderId="0" applyAlignment="1" pivotButton="0" quotePrefix="0" xfId="0">
      <alignment horizontal="general" vertical="bottom"/>
    </xf>
    <xf numFmtId="166" fontId="16" fillId="0" borderId="0" applyAlignment="1" pivotButton="0" quotePrefix="0" xfId="0">
      <alignment horizontal="general" vertical="bottom"/>
    </xf>
    <xf numFmtId="167" fontId="0" fillId="0" borderId="0" applyAlignment="1" pivotButton="0" quotePrefix="0" xfId="0">
      <alignment horizontal="general" vertical="bottom"/>
    </xf>
    <xf numFmtId="3" fontId="0" fillId="0" borderId="0" applyAlignment="1" pivotButton="0" quotePrefix="0" xfId="0">
      <alignment horizontal="general" vertical="bottom"/>
    </xf>
    <xf numFmtId="168" fontId="16" fillId="0" borderId="0" applyAlignment="1" pivotButton="0" quotePrefix="0" xfId="0">
      <alignment horizontal="general" vertical="bottom"/>
    </xf>
    <xf numFmtId="168" fontId="0" fillId="0" borderId="0" applyAlignment="1" pivotButton="0" quotePrefix="0" xfId="0">
      <alignment horizontal="general" vertical="bottom"/>
    </xf>
    <xf numFmtId="164" fontId="14" fillId="0" borderId="2" applyAlignment="1" pivotButton="0" quotePrefix="0" xfId="0">
      <alignment horizontal="center" vertical="bottom"/>
    </xf>
    <xf numFmtId="164" fontId="16" fillId="6" borderId="2" applyAlignment="1" pivotButton="0" quotePrefix="0" xfId="0">
      <alignment horizontal="center" vertical="bottom"/>
    </xf>
    <xf numFmtId="168" fontId="16" fillId="6" borderId="2" applyAlignment="1" pivotButton="0" quotePrefix="0" xfId="0">
      <alignment horizontal="center" vertical="bottom"/>
    </xf>
    <xf numFmtId="0" fontId="16" fillId="0" borderId="2" applyAlignment="1" pivotButton="0" quotePrefix="0" xfId="0">
      <alignment horizontal="general" vertical="bottom"/>
    </xf>
    <xf numFmtId="164" fontId="14" fillId="0" borderId="2" applyAlignment="1" pivotButton="0" quotePrefix="0" xfId="0">
      <alignment horizontal="general" vertical="bottom"/>
    </xf>
    <xf numFmtId="168" fontId="14" fillId="0" borderId="2" applyAlignment="1" pivotButton="0" quotePrefix="0" xfId="0">
      <alignment horizontal="center" vertical="bottom"/>
    </xf>
    <xf numFmtId="166" fontId="14" fillId="0" borderId="2" applyAlignment="1" pivotButton="0" quotePrefix="0" xfId="0">
      <alignment horizontal="general" vertical="bottom"/>
    </xf>
    <xf numFmtId="0" fontId="5" fillId="0" borderId="2" applyAlignment="1" pivotButton="0" quotePrefix="0" xfId="0">
      <alignment horizontal="center" vertical="center" wrapText="1"/>
    </xf>
    <xf numFmtId="0" fontId="19" fillId="0" borderId="2" applyAlignment="1" pivotButton="0" quotePrefix="0" xfId="0">
      <alignment horizontal="general" vertical="bottom"/>
    </xf>
    <xf numFmtId="166" fontId="20" fillId="0" borderId="2" applyAlignment="1" pivotButton="0" quotePrefix="0" xfId="0">
      <alignment horizontal="center" vertical="bottom"/>
    </xf>
    <xf numFmtId="169" fontId="14" fillId="0" borderId="2" applyAlignment="1" pivotButton="0" quotePrefix="0" xfId="0">
      <alignment horizontal="center" vertical="bottom"/>
    </xf>
    <xf numFmtId="0" fontId="21" fillId="0" borderId="0" applyAlignment="1" pivotButton="0" quotePrefix="0" xfId="0">
      <alignment horizontal="general" vertical="top" wrapText="1"/>
    </xf>
    <xf numFmtId="0" fontId="15" fillId="0" borderId="1" applyAlignment="1" pivotButton="0" quotePrefix="0" xfId="0">
      <alignment horizontal="left" vertical="center"/>
    </xf>
    <xf numFmtId="1" fontId="10" fillId="0" borderId="1" applyAlignment="1" pivotButton="0" quotePrefix="0" xfId="0">
      <alignment horizontal="center" vertical="center"/>
    </xf>
    <xf numFmtId="166" fontId="10" fillId="0" borderId="1" applyAlignment="1" pivotButton="0" quotePrefix="0" xfId="0">
      <alignment horizontal="center" vertical="center"/>
    </xf>
    <xf numFmtId="168" fontId="10" fillId="0" borderId="1" applyAlignment="1" pivotButton="0" quotePrefix="0" xfId="0">
      <alignment horizontal="center" vertical="center"/>
    </xf>
    <xf numFmtId="1" fontId="15" fillId="7" borderId="1" applyAlignment="1" pivotButton="0" quotePrefix="0" xfId="0">
      <alignment horizontal="center" vertical="center"/>
    </xf>
    <xf numFmtId="1" fontId="15" fillId="0" borderId="1" applyAlignment="1" pivotButton="0" quotePrefix="0" xfId="0">
      <alignment horizontal="center" vertical="center"/>
    </xf>
    <xf numFmtId="168" fontId="15" fillId="0" borderId="1" applyAlignment="1" pivotButton="0" quotePrefix="0" xfId="0">
      <alignment horizontal="center" vertical="center"/>
    </xf>
    <xf numFmtId="0" fontId="0" fillId="7" borderId="0" applyAlignment="1" pivotButton="0" quotePrefix="0" xfId="0">
      <alignment horizontal="general" vertical="bottom"/>
    </xf>
    <xf numFmtId="0" fontId="0" fillId="6" borderId="0" applyAlignment="1" pivotButton="0" quotePrefix="0" xfId="0">
      <alignment horizontal="general" vertical="bottom"/>
    </xf>
    <xf numFmtId="167" fontId="14" fillId="0" borderId="0" applyAlignment="1" pivotButton="0" quotePrefix="0" xfId="0">
      <alignment horizontal="general" vertical="bottom"/>
    </xf>
    <xf numFmtId="1" fontId="14" fillId="0" borderId="0" applyAlignment="1" pivotButton="0" quotePrefix="0" xfId="0">
      <alignment horizontal="general" vertical="bottom"/>
    </xf>
    <xf numFmtId="3" fontId="14" fillId="0" borderId="0" applyAlignment="1" pivotButton="0" quotePrefix="0" xfId="0">
      <alignment horizontal="general" vertical="bottom"/>
    </xf>
    <xf numFmtId="0" fontId="16" fillId="6" borderId="0" applyAlignment="1" pivotButton="0" quotePrefix="0" xfId="0">
      <alignment horizontal="general" vertical="bottom"/>
    </xf>
    <xf numFmtId="1" fontId="16" fillId="6" borderId="0" applyAlignment="1" pivotButton="0" quotePrefix="0" xfId="0">
      <alignment horizontal="general" vertical="bottom"/>
    </xf>
    <xf numFmtId="3" fontId="16" fillId="6" borderId="0" applyAlignment="1" pivotButton="0" quotePrefix="0" xfId="0">
      <alignment horizontal="general" vertical="bottom"/>
    </xf>
    <xf numFmtId="169" fontId="14" fillId="0" borderId="0" applyAlignment="1" pivotButton="0" quotePrefix="0" xfId="0">
      <alignment horizontal="general" vertical="bottom"/>
    </xf>
    <xf numFmtId="1" fontId="16" fillId="0" borderId="0" applyAlignment="1" pivotButton="0" quotePrefix="0" xfId="0">
      <alignment horizontal="center" vertical="bottom"/>
    </xf>
    <xf numFmtId="168" fontId="14" fillId="0" borderId="0" applyAlignment="1" pivotButton="0" quotePrefix="0" xfId="0">
      <alignment horizontal="general" vertical="bottom"/>
    </xf>
    <xf numFmtId="168" fontId="16" fillId="6" borderId="0" applyAlignment="1" pivotButton="0" quotePrefix="0" xfId="0">
      <alignment horizontal="general" vertical="bottom"/>
    </xf>
    <xf numFmtId="9" fontId="14" fillId="0" borderId="0" applyAlignment="1" pivotButton="0" quotePrefix="0" xfId="0">
      <alignment horizontal="general" vertical="bottom"/>
    </xf>
    <xf numFmtId="3" fontId="10" fillId="0" borderId="1" applyAlignment="1" pivotButton="0" quotePrefix="0" xfId="0">
      <alignment horizontal="center" vertical="center"/>
    </xf>
    <xf numFmtId="3" fontId="15" fillId="0" borderId="1" applyAlignment="1" pivotButton="0" quotePrefix="0" xfId="0">
      <alignment horizontal="center" vertical="center"/>
    </xf>
    <xf numFmtId="3" fontId="15" fillId="5" borderId="1" applyAlignment="1" pivotButton="0" quotePrefix="0" xfId="0">
      <alignment horizontal="center" vertical="center"/>
    </xf>
    <xf numFmtId="0" fontId="17" fillId="3" borderId="2" applyAlignment="1" pivotButton="0" quotePrefix="0" xfId="0">
      <alignment horizontal="general" vertical="bottom"/>
    </xf>
    <xf numFmtId="3" fontId="14" fillId="0" borderId="2" applyAlignment="1" pivotButton="0" quotePrefix="0" xfId="0">
      <alignment horizontal="general" vertical="bottom"/>
    </xf>
    <xf numFmtId="3" fontId="16" fillId="0" borderId="2" applyAlignment="1" pivotButton="0" quotePrefix="0" xfId="0">
      <alignment horizontal="general" vertical="bottom"/>
    </xf>
    <xf numFmtId="49" fontId="0" fillId="0" borderId="0" applyAlignment="1" pivotButton="0" quotePrefix="0" xfId="0">
      <alignment horizontal="general" vertical="bottom" wrapText="1"/>
    </xf>
    <xf numFmtId="0" fontId="21" fillId="0" borderId="0" applyAlignment="1" pivotButton="0" quotePrefix="0" xfId="0">
      <alignment horizontal="general" vertical="bottom"/>
    </xf>
    <xf numFmtId="0" fontId="17" fillId="0" borderId="0" applyAlignment="1" pivotButton="0" quotePrefix="0" xfId="0">
      <alignment horizontal="general" vertical="bottom"/>
    </xf>
    <xf numFmtId="0" fontId="6" fillId="8" borderId="0" applyAlignment="1" pivotButton="0" quotePrefix="0" xfId="0">
      <alignment horizontal="center" vertical="bottom"/>
    </xf>
    <xf numFmtId="0" fontId="6" fillId="8" borderId="1" applyAlignment="1" pivotButton="0" quotePrefix="0" xfId="0">
      <alignment horizontal="center" vertical="bottom"/>
    </xf>
    <xf numFmtId="0" fontId="6" fillId="8" borderId="1" applyAlignment="1" pivotButton="0" quotePrefix="0" xfId="0">
      <alignment horizontal="left" vertical="bottom"/>
    </xf>
    <xf numFmtId="0" fontId="10" fillId="0" borderId="1" applyAlignment="1" pivotButton="0" quotePrefix="0" xfId="0">
      <alignment horizontal="center" vertical="center"/>
    </xf>
    <xf numFmtId="0" fontId="0" fillId="0" borderId="0" applyAlignment="1" pivotButton="0" quotePrefix="0" xfId="0">
      <alignment horizontal="general" vertical="bottom" wrapText="1"/>
    </xf>
    <xf numFmtId="0" fontId="11" fillId="4" borderId="1" applyAlignment="1" pivotButton="0" quotePrefix="0" xfId="0">
      <alignment horizontal="left" vertical="center" wrapText="1"/>
    </xf>
    <xf numFmtId="0" fontId="5" fillId="0" borderId="0" applyAlignment="1" pivotButton="0" quotePrefix="0" xfId="0">
      <alignment horizontal="center" vertical="bottom"/>
    </xf>
    <xf numFmtId="3" fontId="0" fillId="0" borderId="0" applyAlignment="1" pivotButton="0" quotePrefix="0" xfId="0">
      <alignment horizontal="center" vertical="bottom"/>
    </xf>
    <xf numFmtId="3"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12" fillId="0" borderId="0" applyAlignment="1" pivotButton="0" quotePrefix="0" xfId="0">
      <alignment horizontal="center" vertical="bottom"/>
    </xf>
    <xf numFmtId="0" fontId="14" fillId="0" borderId="2" applyAlignment="1" pivotButton="0" quotePrefix="0" xfId="0">
      <alignment horizontal="left" vertical="bottom" wrapText="1"/>
    </xf>
    <xf numFmtId="3" fontId="14" fillId="0" borderId="2" applyAlignment="1" pivotButton="0" quotePrefix="0" xfId="0">
      <alignment horizontal="center" vertical="bottom"/>
    </xf>
    <xf numFmtId="0" fontId="13" fillId="4" borderId="2" applyAlignment="1" pivotButton="0" quotePrefix="0" xfId="0">
      <alignment horizontal="left" vertical="bottom" wrapText="1"/>
    </xf>
    <xf numFmtId="0" fontId="22" fillId="0" borderId="0" applyAlignment="1" pivotButton="0" quotePrefix="0" xfId="0">
      <alignment horizontal="center" vertical="bottom"/>
    </xf>
    <xf numFmtId="1" fontId="15" fillId="0" borderId="1" applyAlignment="1" pivotButton="0" quotePrefix="0" xfId="0">
      <alignment horizontal="left" vertical="center"/>
    </xf>
    <xf numFmtId="0" fontId="23" fillId="4" borderId="1" applyAlignment="1" pivotButton="0" quotePrefix="0" xfId="0">
      <alignment horizontal="left" vertical="center"/>
    </xf>
    <xf numFmtId="0" fontId="24" fillId="4" borderId="0" applyAlignment="1" pivotButton="0" quotePrefix="0" xfId="0">
      <alignment horizontal="general" vertical="bottom"/>
    </xf>
    <xf numFmtId="0" fontId="22" fillId="0" borderId="2" applyAlignment="1" pivotButton="0" quotePrefix="0" xfId="0">
      <alignment horizontal="center" vertical="bottom"/>
    </xf>
    <xf numFmtId="0" fontId="22" fillId="0" borderId="2" applyAlignment="1" pivotButton="0" quotePrefix="0" xfId="0">
      <alignment horizontal="left" vertical="bottom" wrapText="1"/>
    </xf>
    <xf numFmtId="168" fontId="22" fillId="0" borderId="2" applyAlignment="1" pivotButton="0" quotePrefix="0" xfId="0">
      <alignment horizontal="center" vertical="bottom"/>
    </xf>
    <xf numFmtId="0" fontId="5" fillId="0" borderId="2" applyAlignment="1" pivotButton="0" quotePrefix="0" xfId="0">
      <alignment horizontal="center" vertical="bottom"/>
    </xf>
    <xf numFmtId="0" fontId="5" fillId="4" borderId="1" applyAlignment="1" pivotButton="0" quotePrefix="0" xfId="0">
      <alignment horizontal="general" vertical="top" wrapText="1"/>
    </xf>
    <xf numFmtId="1" fontId="17" fillId="3" borderId="0" applyAlignment="1" pivotButton="0" quotePrefix="0" xfId="0">
      <alignment horizontal="general" vertical="top" wrapText="1"/>
    </xf>
    <xf numFmtId="0" fontId="14" fillId="0" borderId="1" applyAlignment="1" pivotButton="0" quotePrefix="0" xfId="0">
      <alignment horizontal="left" vertical="center"/>
    </xf>
    <xf numFmtId="0" fontId="16"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16" fillId="4" borderId="0" applyAlignment="1" pivotButton="0" quotePrefix="0" xfId="0">
      <alignment horizontal="general" vertical="bottom"/>
    </xf>
    <xf numFmtId="0" fontId="16" fillId="4" borderId="0" applyAlignment="1" pivotButton="0" quotePrefix="0" xfId="0">
      <alignment horizontal="general" vertical="top" wrapText="1"/>
    </xf>
    <xf numFmtId="0" fontId="6" fillId="0" borderId="0" applyAlignment="1" pivotButton="0" quotePrefix="0" xfId="0">
      <alignment horizontal="general" vertical="top" wrapText="1"/>
    </xf>
    <xf numFmtId="1" fontId="13" fillId="4" borderId="2" applyAlignment="1" pivotButton="0" quotePrefix="0" xfId="0">
      <alignment horizontal="center" vertical="bottom"/>
    </xf>
    <xf numFmtId="166" fontId="13" fillId="4" borderId="2" applyAlignment="1" pivotButton="0" quotePrefix="0" xfId="0">
      <alignment horizontal="center" vertical="bottom"/>
    </xf>
    <xf numFmtId="0" fontId="14" fillId="9" borderId="2" applyAlignment="1" pivotButton="0" quotePrefix="0" xfId="0">
      <alignment horizontal="general" vertical="bottom"/>
    </xf>
    <xf numFmtId="1" fontId="14" fillId="9" borderId="2" applyAlignment="1" pivotButton="0" quotePrefix="0" xfId="0">
      <alignment horizontal="center" vertical="bottom"/>
    </xf>
    <xf numFmtId="0" fontId="14" fillId="9" borderId="2" applyAlignment="1" pivotButton="0" quotePrefix="0" xfId="0">
      <alignment horizontal="center" vertical="bottom"/>
    </xf>
    <xf numFmtId="166" fontId="14" fillId="9" borderId="2" applyAlignment="1" pivotButton="0" quotePrefix="0" xfId="0">
      <alignment horizontal="center" vertical="bottom"/>
    </xf>
    <xf numFmtId="0" fontId="5" fillId="9" borderId="2" applyAlignment="1" pivotButton="0" quotePrefix="0" xfId="0">
      <alignment horizontal="general" vertical="top" wrapText="1"/>
    </xf>
    <xf numFmtId="0" fontId="5" fillId="9" borderId="2" applyAlignment="1" pivotButton="0" quotePrefix="0" xfId="0">
      <alignment horizontal="left" vertical="top" wrapText="1"/>
    </xf>
    <xf numFmtId="0" fontId="14" fillId="0" borderId="2"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16" fillId="9" borderId="2" applyAlignment="1" pivotButton="0" quotePrefix="0" xfId="0">
      <alignment horizontal="left" vertical="top" wrapText="1"/>
    </xf>
    <xf numFmtId="0" fontId="14" fillId="9" borderId="2" applyAlignment="1" pivotButton="0" quotePrefix="0" xfId="0">
      <alignment horizontal="general" vertical="top" wrapText="1"/>
    </xf>
    <xf numFmtId="0" fontId="14" fillId="9" borderId="2" applyAlignment="1" pivotButton="0" quotePrefix="0" xfId="0">
      <alignment horizontal="left" vertical="top" wrapText="1"/>
    </xf>
    <xf numFmtId="0" fontId="16" fillId="0" borderId="3" applyAlignment="1" pivotButton="0" quotePrefix="0" xfId="0">
      <alignment horizontal="general" vertical="bottom"/>
    </xf>
    <xf numFmtId="0" fontId="25" fillId="0" borderId="2" applyAlignment="1" pivotButton="0" quotePrefix="0" xfId="0">
      <alignment horizontal="general" vertical="top" wrapText="1"/>
    </xf>
    <xf numFmtId="0" fontId="16" fillId="0" borderId="2" applyAlignment="1" pivotButton="0" quotePrefix="0" xfId="0">
      <alignment horizontal="left" vertical="top" wrapText="1"/>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14" fillId="4" borderId="2" applyAlignment="1" pivotButton="0" quotePrefix="0" xfId="0">
      <alignment horizontal="left" vertical="top" wrapText="1"/>
    </xf>
    <xf numFmtId="0" fontId="5" fillId="4" borderId="2" applyAlignment="1" pivotButton="0" quotePrefix="0" xfId="0">
      <alignment horizontal="left" vertical="top" wrapText="1"/>
    </xf>
    <xf numFmtId="0" fontId="14" fillId="0" borderId="0" applyAlignment="1" pivotButton="0" quotePrefix="0" xfId="0">
      <alignment horizontal="general" vertical="top" wrapText="1"/>
    </xf>
    <xf numFmtId="0" fontId="14" fillId="3"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008080"/>
      <rgbColor rgb="FFCAD2C5"/>
      <rgbColor rgb="FF808080"/>
      <rgbColor rgb="FFB0B0B0"/>
      <rgbColor rgb="FF993366"/>
      <rgbColor rgb="FFFFEB9C"/>
      <rgbColor rgb="FFC6EFCE"/>
      <rgbColor rgb="FF660066"/>
      <rgbColor rgb="FFFF8080"/>
      <rgbColor rgb="FF2A6099"/>
      <rgbColor rgb="FFD9D9D9"/>
      <rgbColor rgb="FF000080"/>
      <rgbColor rgb="FFFF00FF"/>
      <rgbColor rgb="FFFFFF00"/>
      <rgbColor rgb="FF00FFFF"/>
      <rgbColor rgb="FF800080"/>
      <rgbColor rgb="FF800000"/>
      <rgbColor rgb="FF008080"/>
      <rgbColor rgb="FF0000FF"/>
      <rgbColor rgb="FF00CCFF"/>
      <rgbColor rgb="FFCCFFFF"/>
      <rgbColor rgb="FFD8F3DC"/>
      <rgbColor rgb="FFFFF3B0"/>
      <rgbColor rgb="FF99CCFF"/>
      <rgbColor rgb="FFFF99CC"/>
      <rgbColor rgb="FFCC99FF"/>
      <rgbColor rgb="FFFFC7CE"/>
      <rgbColor rgb="FF3366FF"/>
      <rgbColor rgb="FF33CCCC"/>
      <rgbColor rgb="FF99CC00"/>
      <rgbColor rgb="FFFFCC00"/>
      <rgbColor rgb="FFFF9900"/>
      <rgbColor rgb="FFFF6600"/>
      <rgbColor rgb="FF52796F"/>
      <rgbColor rgb="FF81ACA6"/>
      <rgbColor rgb="FF003366"/>
      <rgbColor rgb="FF339966"/>
      <rgbColor rgb="FF003300"/>
      <rgbColor rgb="FF333300"/>
      <rgbColor rgb="FF9B2226"/>
      <rgbColor rgb="FF993366"/>
      <rgbColor rgb="FF333399"/>
      <rgbColor rgb="FF2F3E4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4.xml.rels><Relationships xmlns="http://schemas.openxmlformats.org/package/2006/relationships"><Relationship Type="http://schemas.openxmlformats.org/officeDocument/2006/relationships/hyperlink" Target="https://us.list-manage.com/15mnGAdGXRZ?e=01d924e174&amp;c2id=7f435ad9505e7cfa25e5b2dd12a40112" TargetMode="External" Id="rId1"/></Relationships>
</file>

<file path=xl/worksheets/sheet1.xml><?xml version="1.0" encoding="utf-8"?>
<worksheet xmlns="http://schemas.openxmlformats.org/spreadsheetml/2006/main">
  <sheetPr filterMode="0">
    <tabColor rgb="FF2F3E46"/>
    <outlinePr summaryBelow="1" summaryRight="1"/>
    <pageSetUpPr fitToPage="0"/>
  </sheetPr>
  <dimension ref="A1:D26"/>
  <sheetViews>
    <sheetView showFormulas="0" showGridLines="1" showRowColHeaders="1" showZeros="1" rightToLeft="0" tabSelected="0" showOutlineSymbols="1" defaultGridColor="1" view="normal" topLeftCell="A17" colorId="64" zoomScale="100" zoomScaleNormal="100" zoomScalePageLayoutView="100" workbookViewId="0">
      <selection pane="topLeft" activeCell="C7" activeCellId="0" sqref="C7"/>
    </sheetView>
  </sheetViews>
  <sheetFormatPr baseColWidth="8" defaultColWidth="8.4296875" defaultRowHeight="15" zeroHeight="0" outlineLevelRow="0"/>
  <cols>
    <col width="46" customWidth="1" style="170" min="1" max="1"/>
    <col width="30" customWidth="1" style="170" min="2" max="4"/>
  </cols>
  <sheetData>
    <row r="1" ht="17.25" customHeight="1" s="171">
      <c r="A1" s="172" t="inlineStr">
        <is>
          <t>Start Here — Future Turtles 2026 Drinks, orientation for whoever builds the menu</t>
        </is>
      </c>
      <c r="B1" s="173" t="n"/>
      <c r="C1" s="173" t="n"/>
      <c r="D1" s="173" t="n"/>
    </row>
    <row r="3" ht="51.75" customHeight="1" s="171">
      <c r="A3" s="174" t="inlineStr">
        <is>
          <t>A free bar at Burning Man 2026. Non-alcoholic 'dirty sodas' built to order, with an optional shot for anyone who wants one. No money changes hands. THE WORKBOOK IS FINISHED AS A PLAN — what is wanted next is two pieces of design: (1) a guest-facing MENU, and (2) BARTENDER INSTRUCTIONS for people who have never made these drinks and will be reading in the dark, dusty and probably impaired.</t>
        </is>
      </c>
    </row>
    <row r="6" ht="15" customHeight="1" s="171">
      <c r="A6" s="175" t="inlineStr">
        <is>
          <t>THE SHAPE OF IT</t>
        </is>
      </c>
    </row>
    <row r="7" ht="62.25" customHeight="1" s="171">
      <c r="A7" s="174" t="inlineStr">
        <is>
          <t>Roughly 1,460 servings across 8 days — Sunday through the closing Sunday, with that last one a daytime cafe rather than a night. 16 built-to-order recipes available all week (including Root Access, the dirty root beer float, and the two tequila builds below), 3 Saturday-only reveals, one 33-serving jug special per service, and Turtle Soup on its own standalone sign. THE JUG CHANGES EVERY DAY EXCEPT ONE: Saturday and the closing Sunday pour the same peach green iced tea, deliberately, so that the busiest night of the week has one thing on it that needs no attention. TWO DRINKS BREAK THE LIQUOR-IS-OPTIONAL RULE — Rawhide and Localhost are tequila builds, sized at 100% uptake (Assumptions B222); both have non-alcoholic versions from stock on hand, and Rawhide’s is already on the standing board as salted soda water + lime. *** AS OF 11 Aug 2026 NEITHER PRINTS IN A BLOCK THAT SAYS SO: *** the old tequila-builds block is gone, Localhost sits among the built drinks and Rawhide in LESS SWEET, but both are still costed at a full shot on every serving. If you are designing the menu, the tequila needs to be visible on those two lines — the liquor column says 'IN THE BUILD, not optional' for exactly that reason. On top of that, 128 servings are cold cans a camper takes from the cooler with no bartender involved — Red Bull, coconut water and the Grapefruit Radler. Live figure for total servings is ‘Totals by Type’ B12.</t>
        </is>
      </c>
    </row>
    <row r="9" ht="15" customHeight="1" s="171">
      <c r="A9" s="175" t="inlineStr">
        <is>
          <t>TABS YOU NEED FOR DESIGN</t>
        </is>
      </c>
    </row>
    <row r="10" ht="62.25" customHeight="1" s="171">
      <c r="A10" s="174" t="inlineStr">
        <is>
          <t>'Service Availability' — START HERE. What is on offer and when. Three groups: all-week, Saturday-only, and the nightly jug. This is the tab that decides the menu's structure.
'Dirty Soda - Built Drinks' — the build spec for every drink: base, per-serving oz of each ingredient, garnish, and the optional liquor. This is where bartender instructions come from. (Older notes across the workbook call this tab 'Recipes'; same tab, it was renamed.)
'Jug Recipes' — the nightly jug specials, one per night, with their own ingredients.
'Bar Add-Ons' — no-prep items a bartender hands over or splashes in. Free menu extensions, and where the LESS SWEET items are costed.
'Menu Board' — the existing rough board layout, live-linked to the names. THE 'LESS SWEET' BLOCK IS THE ONE TO GIVE REAL SPACE TO — it is the answer to 'have you got anything not too sweet?', which is the question this bar gets most often by Wednesday.</t>
        </is>
      </c>
    </row>
    <row r="12" ht="15" customHeight="1" s="171">
      <c r="A12" s="175" t="inlineStr">
        <is>
          <t>TABS THAT ARE PROCUREMENT ONLY — IGNORE FOR DESIGN</t>
        </is>
      </c>
    </row>
    <row r="13" ht="25.5" customHeight="1" s="171">
      <c r="A13" s="174" t="inlineStr">
        <is>
          <t>'Purchase List', 'Packaged Sizing', 'Packaged Prices', 'Ingredient Pricing', 'Assumptions', 'Other Consumables', 'Base Soda — Cans', 'Beverage Lines', 'Totals by Type', 'Camp Drinks', 'Supplies'. These size and cost the shopping trip. Nothing in them belongs on a menu.</t>
        </is>
      </c>
    </row>
    <row r="15" ht="15" customHeight="1" s="171">
      <c r="A15" s="175" t="inlineStr">
        <is>
          <t>HOUSE CONVENTIONS</t>
        </is>
      </c>
    </row>
    <row r="16" ht="37.5" customHeight="1" s="171">
      <c r="A16" s="174" t="inlineStr">
        <is>
          <t>Standard pour is 8 oz over ice — small on purpose, so people can try several and nothing gets abandoned half-drunk. Liquor is always optional and always a 1.5 oz shot; the model assumes 35% of drinks get one. Six liquors behind the bar: vodka, coconut rum, bourbon, blanco tequila, spiced rum, whiskey. Several drinks take a Tajin rim. Cans of beer, cider, Red Bull and coconut water are handed over sealed, not poured.</t>
        </is>
      </c>
    </row>
    <row r="18" ht="15" customHeight="1" s="171">
      <c r="A18" s="176" t="inlineStr">
        <is>
          <t>HARD RULES — DO NOT DESIGN AROUND THESE</t>
        </is>
      </c>
    </row>
    <row r="19" ht="30" customHeight="1" s="171">
      <c r="A19" s="174" t="inlineStr">
        <is>
          <t>The three Saturday reveals (Sakura Kisses, Catboy Snot, Catboy Piss) MUST NOT appear on any menu shown before Saturday. They need their own separate card. Turtle Soup is NOT one of them — it is a standalone sign with no day attached, see 'Service Availability' section 4.</t>
        </is>
      </c>
    </row>
    <row r="20" ht="30" customHeight="1" s="171">
      <c r="A20" s="174" t="inlineStr">
        <is>
          <t>STRAIGHT KOMBUCHA IS ALLOWED as of 14 Aug 2026 — this reverses the old "it is a build base, the answer is no" rule. If a guest asks for a plain kombucha, pour them one. TWO THINGS CONSTRAIN IT: (1) supply is spare capacity, not a sized allowance — roughly 10 straight pours across the whole week, so it is a "yes, while it lasts", NOT a board item you can promise; (2) POUR SUPERBERRY. Clear Mind and Island Mango have ~14 oz of slack each and are needed for Clear Cache and Tang Dynasty; Superberry has ~56 oz spare. Three flavours behind the bar, all from one Brew Dr. variety pack: Island Mango (Tang Dynasty), Clear Mind (Clear Cache), Superberry (SCOBY Mule + straight pours). A splash of Mountain Dew in any of them is the "make it dirty" option.</t>
        </is>
      </c>
    </row>
    <row r="21" ht="30" customHeight="1" s="171">
      <c r="A21" s="174" t="inlineStr">
        <is>
          <t>Catboy Snot uses DRINKING aloe (inner-fillet, decolorized). Whole-leaf aloe is a laxative. If the bartender instructions mention aloe at all, they must say this.</t>
        </is>
      </c>
    </row>
    <row r="22" ht="30" customHeight="1" s="171">
      <c r="A22" s="174" t="inlineStr">
        <is>
          <t>Nothing here is sold. No prices anywhere on a guest-facing menu.</t>
        </is>
      </c>
    </row>
    <row r="23" ht="30" customHeight="1" s="171">
      <c r="A23" s="174" t="inlineStr">
        <is>
          <t>Saturday is the crunch: the reveals stack on top of the full standing menu. Bartender instructions should say the aloe, basil seeds and garnishes get prepped FRIDAY NIGHT.</t>
        </is>
      </c>
    </row>
    <row r="24">
      <c r="A24" s="170" t="inlineStr">
        <is>
          <t>SECRET PARTY (vodka: Vodka Shot, Vodka Cranberry, Screwdriver, Vodka Red Bull, Vodka Lemonade, Vodka Soda) is NOT part of this design — a camp mate is running a private/off-menu event and building their own separate menu for it. Do not put any of it on the standing board, the Saturday card, or the Menu Board tab. Recipes and procurement live on Assumptions row 272 and Dirty Soda - Built Drinks row 26 for cost-tracking only.</t>
        </is>
      </c>
    </row>
    <row r="25" ht="15" customHeight="1" s="171">
      <c r="A25" s="175" t="inlineStr">
        <is>
          <t>HISTORY — WHY IT LOOKS LIKE THIS</t>
        </is>
      </c>
    </row>
    <row r="26" ht="60" customHeight="1" s="171">
      <c r="A26" s="174" t="inlineStr">
        <is>
          <t>This plan originally ran on 8 kegs across two tap lines, which is why some tabs still carry keg vocabulary as a costing baseline. That is gone: everything is now bottles and cans on ice, which saved ~$870 and removed the jockey box, CO2 and deposits. The practical consequence for the menu is that the old day-by-day rotation is dead — almost everything is available all week. 'Beverage Lines' and the 'old keg $' columns are historical reference only.</t>
        </is>
      </c>
    </row>
  </sheetData>
  <mergeCells count="9">
    <mergeCell ref="A23:D23"/>
    <mergeCell ref="A22:D22"/>
    <mergeCell ref="A20:D20"/>
    <mergeCell ref="A3:D3"/>
    <mergeCell ref="A21:D21"/>
    <mergeCell ref="A26:D26"/>
    <mergeCell ref="A16:D16"/>
    <mergeCell ref="A10:D10"/>
    <mergeCell ref="A13:D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34"/>
  <sheetViews>
    <sheetView showFormulas="0" showGridLines="1" showRowColHeaders="1" showZeros="1" rightToLeft="0" tabSelected="0" showOutlineSymbols="1" defaultGridColor="1" view="normal" topLeftCell="C1" colorId="64" zoomScale="100" zoomScaleNormal="100" zoomScalePageLayoutView="100" workbookViewId="0">
      <selection pane="topLeft" activeCell="L16" activeCellId="0" sqref="L16"/>
    </sheetView>
  </sheetViews>
  <sheetFormatPr baseColWidth="8" defaultColWidth="14.4296875" defaultRowHeight="15" zeroHeight="0" outlineLevelRow="0"/>
  <cols>
    <col width="24" customWidth="1" style="170" min="1" max="1"/>
    <col width="9" customWidth="1" style="170" min="2" max="2"/>
    <col width="8" customWidth="1" style="170" min="3" max="3"/>
    <col width="19.96" customWidth="1" style="170" min="4" max="4"/>
    <col width="7" customWidth="1" style="170" min="5" max="5"/>
    <col width="15.82" customWidth="1" style="170" min="6" max="6"/>
    <col width="7" customWidth="1" style="170" min="7" max="7"/>
    <col width="18.66" customWidth="1" style="170" min="8" max="8"/>
    <col width="7" customWidth="1" style="170" min="9" max="9"/>
    <col width="11" customWidth="1" style="170" min="10" max="10"/>
    <col width="13" customWidth="1" style="170" min="11" max="11"/>
    <col width="34" customWidth="1" style="170" min="12" max="12"/>
    <col width="19.71" customWidth="1" style="170" min="13" max="13"/>
    <col width="8.710000000000001" customWidth="1" style="170" min="14" max="25"/>
    <col width="10.16" customWidth="1" style="170" min="16384" max="16384"/>
  </cols>
  <sheetData>
    <row r="1" ht="24" customHeight="1" s="171">
      <c r="A1" s="177" t="inlineStr">
        <is>
          <t>Drink Recipes — absolute drink counts (per-serving oz)</t>
        </is>
      </c>
    </row>
    <row r="2" ht="30" customHeight="1" s="171">
      <c r="A2" s="178" t="inlineStr">
        <is>
          <t>Recipe</t>
        </is>
      </c>
      <c r="B2" s="178" t="inlineStr">
        <is>
          <t>Servings</t>
        </is>
      </c>
      <c r="C2" s="178" t="inlineStr">
        <is>
          <t>(share)</t>
        </is>
      </c>
      <c r="D2" s="178" t="inlineStr">
        <is>
          <t>Base soda</t>
        </is>
      </c>
      <c r="E2" s="178" t="inlineStr">
        <is>
          <t>Base oz</t>
        </is>
      </c>
      <c r="F2" s="178" t="inlineStr">
        <is>
          <t>Syrup A</t>
        </is>
      </c>
      <c r="G2" s="178" t="inlineStr">
        <is>
          <t>A oz</t>
        </is>
      </c>
      <c r="H2" s="178" t="inlineStr">
        <is>
          <t>Syrup B</t>
        </is>
      </c>
      <c r="I2" s="178" t="inlineStr">
        <is>
          <t>B oz</t>
        </is>
      </c>
      <c r="J2" s="178" t="inlineStr">
        <is>
          <t>Soda water oz</t>
        </is>
      </c>
      <c r="K2" s="178" t="inlineStr">
        <is>
          <t>Coconut cream oz</t>
        </is>
      </c>
      <c r="L2" s="178" t="inlineStr">
        <is>
          <t>Special / garnish</t>
        </is>
      </c>
      <c r="M2" s="178" t="inlineStr">
        <is>
          <t>Liquor (optional)</t>
        </is>
      </c>
      <c r="N2" s="178" t="inlineStr">
        <is>
          <t>Liquor oz needed</t>
        </is>
      </c>
      <c r="O2" s="170" t="inlineStr">
        <is>
          <t>Tested?</t>
        </is>
      </c>
    </row>
    <row r="3" ht="23.25" customHeight="1" s="171">
      <c r="A3" s="179" t="inlineStr">
        <is>
          <t>Tang Dynasty</t>
        </is>
      </c>
      <c r="B3" s="180" t="n">
        <v>30</v>
      </c>
      <c r="C3" s="181">
        <f>B3/$B$24</f>
        <v/>
      </c>
      <c r="D3" s="179" t="inlineStr">
        <is>
          <t>Kombucha (Island Mango)</t>
        </is>
      </c>
      <c r="E3" s="182" t="n">
        <v>4</v>
      </c>
      <c r="F3" s="179" t="inlineStr">
        <is>
          <t>Tangerine juice</t>
        </is>
      </c>
      <c r="G3" s="182" t="n">
        <v>2</v>
      </c>
      <c r="H3" s="179" t="inlineStr">
        <is>
          <t>Passion fruit purée</t>
        </is>
      </c>
      <c r="I3" s="182" t="n">
        <v>0.75</v>
      </c>
      <c r="J3" s="182" t="n">
        <v>0</v>
      </c>
      <c r="K3" s="182" t="n">
        <v>0</v>
      </c>
      <c r="L3" s="183" t="inlineStr">
        <is>
          <t>ISLAND MANGO KOMBUCHA as of 14 Aug 2026 — was passionfruit, which is not in the Brew Dr. variety pack. The passion fruit purée is still in the build, so the flavour is still there; mango + tangerine + purée reads rounder and slightly less sharp. Kombucha + tangerine + passion fruit over ice, fresh lime squeeze (Assumptions B113), slapped mint or basil leaf; stir.</t>
        </is>
      </c>
      <c r="M3" s="179" t="inlineStr">
        <is>
          <t>Vodka</t>
        </is>
      </c>
      <c r="N3" s="184">
        <f>B3*Assumptions!$B$39*Assumptions!$B$40</f>
        <v/>
      </c>
      <c r="O3" s="170" t="inlineStr">
        <is>
          <t>Yes</t>
        </is>
      </c>
    </row>
    <row r="4" ht="23.25" customHeight="1" s="171">
      <c r="A4" s="179" t="inlineStr">
        <is>
          <t>Michelada</t>
        </is>
      </c>
      <c r="B4" s="180">
        <f>Assumptions!$B$60</f>
        <v/>
      </c>
      <c r="C4" s="181">
        <f>B4/$B$24</f>
        <v/>
      </c>
      <c r="D4" s="179" t="inlineStr">
        <is>
          <t>Mexican Lager</t>
        </is>
      </c>
      <c r="E4" s="182" t="n">
        <v>6</v>
      </c>
      <c r="F4" s="179" t="inlineStr">
        <is>
          <t>Tres Agaves Bloody Mary Mix</t>
        </is>
      </c>
      <c r="G4" s="182" t="n">
        <v>2.5</v>
      </c>
      <c r="H4" s="179" t="inlineStr">
        <is>
          <t>Lime juice (fresh)</t>
        </is>
      </c>
      <c r="I4" s="182" t="n">
        <v>0.5</v>
      </c>
      <c r="J4" s="182" t="n">
        <v>0</v>
      </c>
      <c r="K4" s="182" t="n">
        <v>0</v>
      </c>
      <c r="L4" s="183" t="inlineStr">
        <is>
          <t>Chelada built to order off the Mexican Lager keg: 2.5 oz Tres Agaves Bloody Mary Mix + fresh lime + Tajin rim. SWAPPED OFF CLAMATO + HOT SAUCE 18 Aug 2026 — the Bloody Mary mix (tomato, lime, chili pepper, onion, garlic, organic spices) already carries its own spice, so the separate hot sauce dash is dropped; lime squeeze stays. NOTE: this trades away the briny clam-broth character that's traditionally what makes a Michelada a Michelada — it reads more like a straight spicy tomato beer cocktail now, closer to a chelada preparada than an authentic michelada. Flavor call, not a math problem; revert Syrup A to 'Clamato' at 3 oz + restore Assumptions B105 to 0.25 if that's not the direction you want. Extras itemized on Other Consumables rows 39-42.
OPTIONAL PREP, ADDED 18 Aug 2026 — PREFERRED IF ON HAND: if tomato juice / V8 turns up on the Reno grocery run (Purchase List row 100), build it as 1 oz Tres Agaves Bloody Mary Mix + 3 oz tomato/V8 juice instead of the default 2.5 oz Bloody Mary Mix alone — less clammy, closer to a straight tomato michelada. NOT SCALED INTO THE BUY: this is bartender's-choice per cup depending on what's in the cooler that day, not a guaranteed swap, so the Bloody Mary Mix purchase quantity (row 23) still assumes the 2.5 oz default for all 30 servings. Practical consequence: if V8 shows up and gets used often, the Bloody Mary Mix draw per serving drops from 2.5 oz to 1 oz, so the 4 bottles already on order will stretch considerably further than planned — that's headroom, not a shortfall.</t>
        </is>
      </c>
      <c r="M4" s="179" t="n"/>
      <c r="N4" s="184" t="n">
        <v>0</v>
      </c>
    </row>
    <row r="5" ht="15" customHeight="1" s="171">
      <c r="A5" s="179" t="inlineStr">
        <is>
          <t>Vanilla Cherry Grove</t>
        </is>
      </c>
      <c r="B5" s="180" t="n">
        <v>130</v>
      </c>
      <c r="C5" s="181">
        <f>B5/$B$24</f>
        <v/>
      </c>
      <c r="D5" s="179" t="inlineStr">
        <is>
          <t>Coke</t>
        </is>
      </c>
      <c r="E5" s="182" t="n">
        <v>4</v>
      </c>
      <c r="F5" s="179" t="inlineStr">
        <is>
          <t>Vanilla</t>
        </is>
      </c>
      <c r="G5" s="182" t="n">
        <v>0.25</v>
      </c>
      <c r="H5" s="179" t="inlineStr">
        <is>
          <t>Cherry</t>
        </is>
      </c>
      <c r="I5" s="182" t="n">
        <v>0.25</v>
      </c>
      <c r="J5" s="182" t="n">
        <v>2</v>
      </c>
      <c r="K5" s="182" t="n">
        <v>0</v>
      </c>
      <c r="L5" s="183" t="inlineStr">
        <is>
          <t>DOSED DOWN 21 Aug 2026 (back-propagated from the bar guide) — vanilla and cherry cut from 2 pumps (0.5oz) to 1 pump (0.25oz) each, soda water raised 0.5oz to 2oz. Lighter syrup, longer pour.</t>
        </is>
      </c>
      <c r="M5" s="179" t="inlineStr">
        <is>
          <t>Bourbon</t>
        </is>
      </c>
      <c r="N5" s="184">
        <f>B5*Assumptions!$B$39*Assumptions!$B$40</f>
        <v/>
      </c>
      <c r="O5" s="170" t="inlineStr">
        <is>
          <t>yes</t>
        </is>
      </c>
    </row>
    <row r="6" ht="15" customHeight="1" s="171">
      <c r="A6" s="179" t="inlineStr">
        <is>
          <t>Orange Cream-sicle</t>
        </is>
      </c>
      <c r="B6" s="180" t="n">
        <v>50</v>
      </c>
      <c r="C6" s="181">
        <f>B6/$B$24</f>
        <v/>
      </c>
      <c r="D6" s="179" t="inlineStr">
        <is>
          <t>Orange Fanta</t>
        </is>
      </c>
      <c r="E6" s="182" t="n">
        <v>4</v>
      </c>
      <c r="F6" s="179" t="n"/>
      <c r="G6" s="182" t="n">
        <v>0</v>
      </c>
      <c r="H6" s="179" t="n"/>
      <c r="I6" s="182" t="n">
        <v>0</v>
      </c>
      <c r="J6" s="182" t="n">
        <v>1</v>
      </c>
      <c r="K6" s="182" t="n">
        <v>1</v>
      </c>
      <c r="L6" s="183" t="n"/>
      <c r="M6" s="179" t="inlineStr">
        <is>
          <t>Vodka</t>
        </is>
      </c>
      <c r="N6" s="184">
        <f>B6*Assumptions!$B$39*Assumptions!$B$40</f>
        <v/>
      </c>
    </row>
    <row r="7" ht="15" customHeight="1" s="171">
      <c r="A7" s="179" t="inlineStr">
        <is>
          <t>Watermelon Sugar High</t>
        </is>
      </c>
      <c r="B7" s="180" t="n">
        <v>50</v>
      </c>
      <c r="C7" s="181">
        <f>B7/$B$24</f>
        <v/>
      </c>
      <c r="D7" s="179" t="inlineStr">
        <is>
          <t>Lemonade</t>
        </is>
      </c>
      <c r="E7" s="182" t="n">
        <v>4</v>
      </c>
      <c r="F7" s="179" t="inlineStr">
        <is>
          <t>Watermelon juice</t>
        </is>
      </c>
      <c r="G7" s="182" t="n">
        <v>2</v>
      </c>
      <c r="H7" s="179" t="n"/>
      <c r="I7" s="182" t="n">
        <v>0</v>
      </c>
      <c r="J7" s="182" t="n">
        <v>1</v>
      </c>
      <c r="K7" s="182" t="n">
        <v>0</v>
      </c>
      <c r="L7" s="183" t="inlineStr">
        <is>
          <t>Muddled fresh mint. WATERMELON JUICE COMES OUT OF A CARTON — 2 oz per cup, bought as its own line (Purchase List row 88). It is NOT the whole melons: those are for Monday’s Hard Reset fresca and nothing else, and they are gone by Tuesday. Nothing to blend and nothing to strain here — pour the lemonade, add the juice, muddle the mint, done. This replaced 1 oz of watermelon Torani: real juice at 2 oz reads as fruit rather than as sweetener, and the lemonade is already carrying the sugar.</t>
        </is>
      </c>
      <c r="M7" s="179" t="inlineStr">
        <is>
          <t>Blanco Tequila</t>
        </is>
      </c>
      <c r="N7" s="184">
        <f>B7*Assumptions!$B$39*Assumptions!$B$40</f>
        <v/>
      </c>
    </row>
    <row r="8" ht="15" customHeight="1" s="171">
      <c r="A8" s="179" t="inlineStr">
        <is>
          <t>A Ginger's Pickle (Big Dill Energy)</t>
        </is>
      </c>
      <c r="B8" s="180" t="n">
        <v>30</v>
      </c>
      <c r="C8" s="181">
        <f>B8/$B$24</f>
        <v/>
      </c>
      <c r="D8" s="179" t="inlineStr">
        <is>
          <t>Ginger ale</t>
        </is>
      </c>
      <c r="E8" s="182" t="n">
        <v>4</v>
      </c>
      <c r="F8" s="179" t="inlineStr">
        <is>
          <t>Pickle Juice</t>
        </is>
      </c>
      <c r="G8" s="182" t="n">
        <v>1</v>
      </c>
      <c r="H8" s="179" t="n"/>
      <c r="I8" s="182" t="n">
        <v>0</v>
      </c>
      <c r="J8" s="182" t="n">
        <v>1</v>
      </c>
      <c r="K8" s="182" t="n">
        <v>0</v>
      </c>
      <c r="L8" s="183" t="inlineStr">
        <is>
          <t>Ginger ale + 1 oz pickle juice over ice, TAJIN RIM. Pickle juice is a real ingredient in the Syrup A slot as of 10 Aug 2026 (it was 0.5 oz buried in this note, where nothing could add it up) — it doubles the brine draw on 'Other Consumables' row 50. Spears come free with the jars; hand one over if asked.</t>
        </is>
      </c>
      <c r="M8" s="179" t="inlineStr">
        <is>
          <t>Whiskey</t>
        </is>
      </c>
      <c r="N8" s="184">
        <f>B8*Assumptions!$B$39*Assumptions!$B$40</f>
        <v/>
      </c>
    </row>
    <row r="9" ht="15" customHeight="1" s="171">
      <c r="A9" s="179" t="inlineStr">
        <is>
          <t>The Dr's Cream</t>
        </is>
      </c>
      <c r="B9" s="180" t="n">
        <v>40</v>
      </c>
      <c r="C9" s="181">
        <f>B9/$B$24</f>
        <v/>
      </c>
      <c r="D9" s="179" t="inlineStr">
        <is>
          <t>Dr Pepper</t>
        </is>
      </c>
      <c r="E9" s="182" t="n">
        <v>4</v>
      </c>
      <c r="F9" s="179" t="inlineStr">
        <is>
          <t>Vanilla</t>
        </is>
      </c>
      <c r="G9" s="182" t="n">
        <v>0.5</v>
      </c>
      <c r="H9" s="179" t="n"/>
      <c r="I9" s="182" t="n">
        <v>0</v>
      </c>
      <c r="J9" s="182" t="n">
        <v>1</v>
      </c>
      <c r="K9" s="182" t="n">
        <v>0.5</v>
      </c>
      <c r="L9" s="183" t="inlineStr">
        <is>
          <t>DOSED DOWN 21 Aug 2026 (back-propagated from the bar guide) — vanilla cut from 1oz to 0.5oz (2 pumps), same pump-to-oz convention as the rest of the syrup builds.</t>
        </is>
      </c>
      <c r="M9" s="179" t="inlineStr">
        <is>
          <t>Bourbon</t>
        </is>
      </c>
      <c r="N9" s="184">
        <f>B9*Assumptions!$B$39*Assumptions!$B$40</f>
        <v/>
      </c>
      <c r="O9" s="170" t="inlineStr">
        <is>
          <t>yes</t>
        </is>
      </c>
    </row>
    <row r="10" ht="15" customHeight="1" s="171">
      <c r="A10" s="179" t="inlineStr">
        <is>
          <t>The Dr's Peach Exam</t>
        </is>
      </c>
      <c r="B10" s="180" t="n">
        <v>40</v>
      </c>
      <c r="C10" s="181">
        <f>B10/$B$24</f>
        <v/>
      </c>
      <c r="D10" s="179" t="inlineStr">
        <is>
          <t>Dr Pepper</t>
        </is>
      </c>
      <c r="E10" s="182" t="n">
        <v>4</v>
      </c>
      <c r="F10" s="179" t="inlineStr">
        <is>
          <t>Vanilla</t>
        </is>
      </c>
      <c r="G10" s="182" t="n">
        <v>0.25</v>
      </c>
      <c r="H10" s="179" t="inlineStr">
        <is>
          <t>Peach</t>
        </is>
      </c>
      <c r="I10" s="182" t="n">
        <v>0.25</v>
      </c>
      <c r="J10" s="182" t="n">
        <v>1</v>
      </c>
      <c r="K10" s="182" t="n">
        <v>0.5</v>
      </c>
      <c r="L10" s="183" t="inlineStr">
        <is>
          <t>Dr Pepper + vanilla syrup + peach syrup + coconut cream, over ice. DOSED DOWN 20 Aug 2026 — vanilla and peach both cut from 2 pumps (0.5 oz) to 1 pump (0.25 oz, Assumptions B8a) each. Two full pumps of both flavors together was heavy-handed; one pump each still reads as a peach-vanilla Dr Pepper, just lighter, and stretches the tighter peach stock further.</t>
        </is>
      </c>
      <c r="M10" s="179" t="inlineStr">
        <is>
          <t>Whiskey</t>
        </is>
      </c>
      <c r="N10" s="184">
        <f>B10*Assumptions!$B$39*Assumptions!$B$40</f>
        <v/>
      </c>
      <c r="O10" s="185" t="inlineStr">
        <is>
          <t>yes</t>
        </is>
      </c>
    </row>
    <row r="11" ht="23.25" customHeight="1" s="171">
      <c r="A11" s="179" t="inlineStr">
        <is>
          <t>SCOBY Mule</t>
        </is>
      </c>
      <c r="B11" s="186" t="n">
        <v>20</v>
      </c>
      <c r="C11" s="181">
        <f>B11/$B$24</f>
        <v/>
      </c>
      <c r="D11" s="179" t="inlineStr">
        <is>
          <t>Kombucha (Superberry)</t>
        </is>
      </c>
      <c r="E11" s="182" t="n">
        <v>4</v>
      </c>
      <c r="F11" s="179" t="inlineStr">
        <is>
          <t>Yuzu juice</t>
        </is>
      </c>
      <c r="G11" s="182" t="n">
        <v>0.5</v>
      </c>
      <c r="H11" s="179" t="inlineStr">
        <is>
          <t>Ginger beer</t>
        </is>
      </c>
      <c r="I11" s="182" t="n">
        <v>3</v>
      </c>
      <c r="J11" s="182" t="n">
        <v>0</v>
      </c>
      <c r="K11" s="182" t="n">
        <v>0</v>
      </c>
      <c r="L11" s="187" t="inlineStr">
        <is>
          <t>SUPERBERRY KOMBUCHA as of 14 Aug 2026. *** ANY FLAVOUR WORKS IF SUPERBERRY IS OUT — this build has always been spec’d "either", and berry is a preference, not a requirement. Substitute Island Mango or Clear Mind without asking anyone. *** Berry against the ginger and yuzu is the best of the three, and it is also the flavour with the most slack in the buy (see Packaged Sizing section 7). Kombucha over ice + 0.5 oz YUZU JUICE + agave + apple cider vinegar, topped with ginger beer. The moscow-mule shape: sharp, gingery, not sweet. Per-serving agave and ACV are on Assumptions B131/B128. YUZU REPLACED THE FRESH LEMON 10 Aug 2026, following Clear Cache — with both builds moved there is no fresh lemon left anywhere on the bar and nothing to juice but limes. Yuzu is bottled and shelf-stable, so it is a pour, not a prep job. Jigger it: at $1.54/oz it is the dearest thing behind the bar. *** ASK IF THEY WANT IT DIRTY (ADD DEW). *** A splash of Mountain Dew is the standing modifier on the kombucha builds as of 11 Aug 2026, replacing SCOBY-Dew as a named drink. It is an offer, not a default: ask, do not assume.</t>
        </is>
      </c>
      <c r="M11" s="179" t="inlineStr">
        <is>
          <t>Vodka</t>
        </is>
      </c>
      <c r="N11" s="184">
        <f>B11*Assumptions!$B$39*Assumptions!$B$40</f>
        <v/>
      </c>
    </row>
    <row r="12" ht="23.25" customHeight="1" s="171">
      <c r="A12" s="179" t="inlineStr">
        <is>
          <t>Thirst Trap</t>
        </is>
      </c>
      <c r="B12" s="180" t="n">
        <v>50</v>
      </c>
      <c r="C12" s="181">
        <f>B12/$B$24</f>
        <v/>
      </c>
      <c r="D12" s="179" t="inlineStr">
        <is>
          <t>Squirt</t>
        </is>
      </c>
      <c r="E12" s="182" t="n">
        <v>4</v>
      </c>
      <c r="F12" s="179" t="inlineStr">
        <is>
          <t>Peach</t>
        </is>
      </c>
      <c r="G12" s="182" t="n">
        <v>0.25</v>
      </c>
      <c r="H12" s="179" t="inlineStr">
        <is>
          <t>Lime juice (fresh)</t>
        </is>
      </c>
      <c r="I12" s="182" t="n">
        <v>0.5</v>
      </c>
      <c r="J12" s="182" t="n">
        <v>1</v>
      </c>
      <c r="K12" s="182" t="n">
        <v>0</v>
      </c>
      <c r="L12" s="183" t="inlineStr">
        <is>
          <t>Squirt + peach syrup + fresh lime over ice. DOSED DOWN 20 Aug 2026 — peach cut from 3 pumps (0.75 oz) to 1 pump (0.25 oz); Squirt already carries plenty of its own fruit character, peach was rounding it more than necessary. MINT CUBE IF AVAILABLE — cubes are not guaranteed, the drink is complete without one, so never hold a build waiting for one. Two-finger pinch of salt or a Tajin rim: the salt is what kills the grapefruit bitterness, and peach only softens it. Replaced Thirst Trap, where Squirt fought muddled cucumber and the soda water thinned what was left — peach rounds the grapefruit instead of competing with it. No muddling, so it is a fast build.</t>
        </is>
      </c>
      <c r="M12" s="179" t="inlineStr">
        <is>
          <t>Blanco Tequila</t>
        </is>
      </c>
      <c r="N12" s="184">
        <f>B12*Assumptions!$B$39*Assumptions!$B$40</f>
        <v/>
      </c>
    </row>
    <row r="13" ht="15" customHeight="1" s="171">
      <c r="A13" s="179" t="inlineStr">
        <is>
          <t>Sakura Kisses</t>
        </is>
      </c>
      <c r="B13" s="180" t="n">
        <v>33</v>
      </c>
      <c r="C13" s="181">
        <f>B13/$B$24</f>
        <v/>
      </c>
      <c r="D13" s="179" t="inlineStr">
        <is>
          <t>Green tea</t>
        </is>
      </c>
      <c r="E13" s="182" t="n">
        <v>4</v>
      </c>
      <c r="F13" s="179" t="inlineStr">
        <is>
          <t>Orange syrup</t>
        </is>
      </c>
      <c r="G13" s="182" t="n">
        <v>0.5</v>
      </c>
      <c r="H13" s="179" t="inlineStr">
        <is>
          <t>Sakura syrup</t>
        </is>
      </c>
      <c r="I13" s="182" t="n">
        <v>0.5</v>
      </c>
      <c r="J13" s="182" t="n">
        <v>0</v>
      </c>
      <c r="K13" s="182" t="n">
        <v>0</v>
      </c>
      <c r="L13" s="183" t="inlineStr">
        <is>
          <t>SATURDAY ONLY — Catboy Café finale, built to order off the green tea keg (replaces the retired Saturday aqua fresca jug). Green tea over ice + sakura syrup + orange syrup (0.5 oz each), plus passion fruit purée (Assumptions B118); mint or cucumber garnish. CHANGED 21 Aug 2026 — dropped the 2 oz orange juice pour; orange syrup now carries the orange note at 0.5 oz instead.</t>
        </is>
      </c>
      <c r="M13" s="179" t="n"/>
      <c r="N13" s="184" t="n">
        <v>0</v>
      </c>
    </row>
    <row r="14" ht="15" customHeight="1" s="171">
      <c r="A14" s="179" t="inlineStr">
        <is>
          <t>Clear Cache</t>
        </is>
      </c>
      <c r="B14" s="180" t="n">
        <v>30</v>
      </c>
      <c r="C14" s="181">
        <f>B14/$B$24</f>
        <v/>
      </c>
      <c r="D14" s="179" t="inlineStr">
        <is>
          <t>Kombucha (Clear Mind)</t>
        </is>
      </c>
      <c r="E14" s="182" t="n">
        <v>4</v>
      </c>
      <c r="F14" s="179" t="inlineStr">
        <is>
          <t>Peach</t>
        </is>
      </c>
      <c r="G14" s="182" t="n">
        <v>0.25</v>
      </c>
      <c r="H14" s="179" t="inlineStr">
        <is>
          <t>Yuzu juice</t>
        </is>
      </c>
      <c r="I14" s="182" t="n">
        <v>0.5</v>
      </c>
      <c r="J14" s="182" t="n">
        <v>2</v>
      </c>
      <c r="K14" s="182" t="n">
        <v>0</v>
      </c>
      <c r="L14" s="183" t="inlineStr">
        <is>
          <t>Built off Dr. Clear Mind kombucha (rosemary, mint, sage, green tea). Kombucha over ice + peach syrup (DOSED DOWN 20 Aug 2026, 2 pumps/0.5 oz to 1 pump/0.25 oz — the kombucha and sage already carry most of the flavor, peach was a background note anyway) + 0.5 oz YUZU JUICE, topped with soda water. Rub a sage leaf around the cup rim and drop it in; optional pinch of salt. YUZU REPLACED THE FRESH LEMON 10 Aug 2026 — floral and more bitter-aromatic than lemon, which suits the rosemary-sage kombucha. It is bottled, so there is nothing to squeeze and nothing to keep cold.</t>
        </is>
      </c>
      <c r="M14" s="179" t="inlineStr">
        <is>
          <t>Bourbon</t>
        </is>
      </c>
      <c r="N14" s="184">
        <f>B14*Assumptions!$B$39*Assumptions!$B$40</f>
        <v/>
      </c>
      <c r="O14" s="185" t="inlineStr">
        <is>
          <t>yes</t>
        </is>
      </c>
    </row>
    <row r="15" ht="15" customHeight="1" s="171">
      <c r="A15" s="179" t="inlineStr">
        <is>
          <t>Catboy Snot</t>
        </is>
      </c>
      <c r="B15" s="180" t="n">
        <v>25</v>
      </c>
      <c r="C15" s="181">
        <f>B15/$B$24</f>
        <v/>
      </c>
      <c r="D15" s="179" t="inlineStr">
        <is>
          <t>Squirt</t>
        </is>
      </c>
      <c r="E15" s="182" t="n">
        <v>4</v>
      </c>
      <c r="F15" s="179" t="inlineStr">
        <is>
          <t>Melon</t>
        </is>
      </c>
      <c r="G15" s="182" t="n">
        <v>0.5</v>
      </c>
      <c r="H15" s="179" t="inlineStr">
        <is>
          <t>Lime juice (fresh)</t>
        </is>
      </c>
      <c r="I15" s="182" t="n">
        <v>0.5</v>
      </c>
      <c r="J15" s="182" t="n">
        <v>0</v>
      </c>
      <c r="K15" s="182" t="n">
        <v>0</v>
      </c>
      <c r="L15" s="183" t="inlineStr">
        <is>
          <t>SATURDAY ONLY — Catboy Café finale, do not put it on the board before Saturday. Squirt + melon syrup + fresh lime over ice, then 1.5 oz of aloe vera juice WITH THE PULP spooned in (per-serving oz on Assumptions B147) so the cubes hang in suspension — that is the whole gag. Two-finger pinch of salt, same as Thirst Trap: the salt is what kills the grapefruit bitterness. Tint the ALOE BOTTLE (not the cup) with a pinch of blue spirulina — pale-yellow Squirt + blue reads green, and tinting per-cup comes out uneven. THE SPIRULINA JAR IS NOW BOUGHT FOR THIS ONE JOB (Purchase List row 52): Blue Screen of Death is retired, so nothing else in the workbook uses it. A pinch does it; the jar is ample. Optional basil seeds (Assumptions B150), hydrated in water ahead of service. BUY DRINKING ALOE — inner-fillet/decolorized, NOT whole-leaf or supplement aloe (aloin = laxative).</t>
        </is>
      </c>
      <c r="M15" s="179" t="inlineStr">
        <is>
          <t>Blanco Tequila</t>
        </is>
      </c>
      <c r="N15" s="184">
        <f>B15*Assumptions!$B$39*Assumptions!$B$40</f>
        <v/>
      </c>
    </row>
    <row r="16" ht="32.25" customHeight="1" s="171">
      <c r="A16" s="179" t="inlineStr">
        <is>
          <t>Catboy Piss</t>
        </is>
      </c>
      <c r="B16" s="180" t="n">
        <v>25</v>
      </c>
      <c r="C16" s="181">
        <f>B16/$B$24</f>
        <v/>
      </c>
      <c r="D16" s="179" t="inlineStr">
        <is>
          <t>Red Bull (Yellow Edition)</t>
        </is>
      </c>
      <c r="E16" s="182" t="n">
        <v>4</v>
      </c>
      <c r="F16" s="179" t="inlineStr">
        <is>
          <t>Passion fruit purée</t>
        </is>
      </c>
      <c r="G16" s="182" t="n">
        <v>0.5</v>
      </c>
      <c r="H16" s="179" t="inlineStr">
        <is>
          <t>Lime juice (fresh)</t>
        </is>
      </c>
      <c r="I16" s="182" t="n">
        <v>0.5</v>
      </c>
      <c r="J16" s="182" t="n">
        <v>0</v>
      </c>
      <c r="K16" s="182" t="n">
        <v>0</v>
      </c>
      <c r="L16" s="183" t="inlineStr">
        <is>
          <t>SATURDAY ONLY — do not put it on the board before Saturday. YELLOW EDITION RED BULL, NOT REGULAR (specified 14 Aug 2026): the drink is named for its colour, and the passion fruit purée only reads as an alarming gold off a yellow base — regular Red Bull is amber and goes muddy brown. Yellow Edition is tropical, so the passion fruit adds to it instead of fighting it. Red Bull + blanco tequila over ice, passion fruit purée and fresh lime, Tajin rim. The purée deepens the colour and its tartness cuts the Red Bull sweetness; the salty-spicy rim is what stops it tasting like a dorm drink. Red Bull comes off the Bar Add-Ons tab (12 of the 24 YELLOW cans). SATURDAY COLOUR SET: this is the yellow one — Sakura Kisses is pink and Catboy Snot is green. Keep all three distinct.</t>
        </is>
      </c>
      <c r="M16" s="179" t="inlineStr">
        <is>
          <t>Blanco Tequila</t>
        </is>
      </c>
      <c r="N16" s="184">
        <f>B16*Assumptions!$B$39*Assumptions!$B$40</f>
        <v/>
      </c>
    </row>
    <row r="17" ht="15" customHeight="1" s="171">
      <c r="A17" s="179" t="inlineStr">
        <is>
          <t>Shirley Temple of Doom</t>
        </is>
      </c>
      <c r="B17" s="180" t="n">
        <v>25</v>
      </c>
      <c r="C17" s="181">
        <f>B17/$B$24</f>
        <v/>
      </c>
      <c r="D17" s="179" t="inlineStr">
        <is>
          <t>Sprite</t>
        </is>
      </c>
      <c r="E17" s="182" t="n">
        <v>4</v>
      </c>
      <c r="F17" s="179" t="inlineStr">
        <is>
          <t>Cherry</t>
        </is>
      </c>
      <c r="G17" s="182" t="n">
        <v>0.5</v>
      </c>
      <c r="H17" s="179" t="inlineStr">
        <is>
          <t>Lime juice (fresh)</t>
        </is>
      </c>
      <c r="I17" s="182" t="n">
        <v>0.5</v>
      </c>
      <c r="J17" s="182" t="n">
        <v>2</v>
      </c>
      <c r="K17" s="182" t="n">
        <v>0</v>
      </c>
      <c r="L17" s="183" t="inlineStr">
        <is>
          <t>Sprite + cherry syrup (DOSED DOWN 21 Aug 2026, back-propagated from the bar guide — 3 pumps/0.75oz to 2 pumps/0.5oz) + fresh lime over ice, topped with soda water. TAJIN RIM plus a two-finger pinch of salt — cherry + chile-lime is chamoy logic, and the salt and acid are what stop it reading as candy in the heat. Same rim station as the Michelada, A Ginger's Pickle and Catboy Piss, so it adds no new workflow. No coconut cream (it was pulled from the plain Shirley Temple on row 6 as well).</t>
        </is>
      </c>
      <c r="M17" s="179" t="inlineStr">
        <is>
          <t>Vodka</t>
        </is>
      </c>
      <c r="N17" s="184">
        <f>B17*Assumptions!$B$39*Assumptions!$B$40</f>
        <v/>
      </c>
      <c r="O17" s="170" t="inlineStr">
        <is>
          <t>yes</t>
        </is>
      </c>
    </row>
    <row r="18" ht="102" customHeight="1" s="171">
      <c r="A18" s="179" t="inlineStr">
        <is>
          <t>Shirley Mule</t>
        </is>
      </c>
      <c r="B18" s="180" t="n">
        <v>25</v>
      </c>
      <c r="C18" s="181">
        <f>B18/$B$24</f>
        <v/>
      </c>
      <c r="D18" s="179" t="inlineStr">
        <is>
          <t>Sprite</t>
        </is>
      </c>
      <c r="E18" s="182" t="n">
        <v>2</v>
      </c>
      <c r="F18" s="179" t="inlineStr">
        <is>
          <t>Cherry</t>
        </is>
      </c>
      <c r="G18" s="182" t="n">
        <v>0.75</v>
      </c>
      <c r="H18" s="179" t="inlineStr">
        <is>
          <t>Ginger beer</t>
        </is>
      </c>
      <c r="I18" s="182" t="n">
        <v>3</v>
      </c>
      <c r="J18" s="182" t="n">
        <v>0</v>
      </c>
      <c r="K18" s="182" t="n">
        <v>0</v>
      </c>
      <c r="L18" s="183" t="inlineStr">
        <is>
          <t>Sprite + ginger beer + cherry syrup over ice, plus a 0.5 oz fresh lime squeeze (Assumptions B154 — the two ingredient slots here are full, same situation as Tang Dynasty). BASE SWAPPED TO SPRITE 10 Aug 2026 and ginger beer raised from 2 to 3 oz: the ginger now comes entirely from the ginger beer instead of being split with ginger ale, and the pour volume is unchanged at 6.25 oz. Ginger is genuinely useful for dust-and-heat stomach and the ginger beer's bite cuts the cherry. Vodka is the default; whiskey works if someone asks.</t>
        </is>
      </c>
      <c r="M18" s="179" t="inlineStr">
        <is>
          <t>Vodka</t>
        </is>
      </c>
      <c r="N18" s="184">
        <f>B18*Assumptions!$B$39*Assumptions!$B$40</f>
        <v/>
      </c>
      <c r="O18" s="170" t="inlineStr">
        <is>
          <t>yes</t>
        </is>
      </c>
    </row>
    <row r="19" ht="15.75" customHeight="1" s="171">
      <c r="A19" s="188" t="inlineStr">
        <is>
          <t>Root Access</t>
        </is>
      </c>
      <c r="B19" s="186" t="n">
        <v>40</v>
      </c>
      <c r="C19" s="189">
        <f>B19/$B$24</f>
        <v/>
      </c>
      <c r="D19" s="189" t="inlineStr">
        <is>
          <t>Root beer</t>
        </is>
      </c>
      <c r="E19" s="189" t="n">
        <v>4</v>
      </c>
      <c r="F19" s="189" t="inlineStr">
        <is>
          <t>Vanilla</t>
        </is>
      </c>
      <c r="G19" s="189" t="n">
        <v>0.5</v>
      </c>
      <c r="H19" s="189" t="n"/>
      <c r="I19" s="189" t="n">
        <v>0</v>
      </c>
      <c r="J19" s="189" t="n">
        <v>2</v>
      </c>
      <c r="K19" s="189" t="n">
        <v>1</v>
      </c>
      <c r="L19" s="190" t="inlineStr">
        <is>
          <t>A dirty root beer float. 4 oz root beer + 0.5 oz vanilla syrup + 1 oz cream of coconut over ice — stir gently, it will foam. Cream of coconut instead of dairy means it will not curdle and needs no refrigeration once opened. Cherry syrup in place of vanilla is the other good build.</t>
        </is>
      </c>
      <c r="M19" s="189" t="inlineStr">
        <is>
          <t>Spiced Rum</t>
        </is>
      </c>
      <c r="N19" s="191">
        <f>B19*Assumptions!$B$39*Assumptions!$B$40</f>
        <v/>
      </c>
      <c r="O19" s="170" t="inlineStr">
        <is>
          <t>yes</t>
        </is>
      </c>
    </row>
    <row r="20" ht="15.75" customHeight="1" s="171">
      <c r="A20" s="192" t="inlineStr">
        <is>
          <t>Paloma</t>
        </is>
      </c>
      <c r="B20" s="193" t="n">
        <v>20</v>
      </c>
      <c r="C20" s="170">
        <f>B20/$B$24</f>
        <v/>
      </c>
      <c r="D20" s="170" t="inlineStr">
        <is>
          <t>Paloma mixer</t>
        </is>
      </c>
      <c r="E20" s="170" t="n">
        <v>3</v>
      </c>
      <c r="J20" s="170" t="n">
        <v>5</v>
      </c>
      <c r="K20" s="170" t="n">
        <v>0</v>
      </c>
      <c r="L20" s="174" t="inlineStr">
        <is>
          <t>NEW 18 Aug 2026. SALT RIM. 3 oz paloma mixer + 5 oz soda water over ice, lime wedge. Optional 1.5 oz blanco tequila OR vodka — tequila is the paloma, vodka is the cleaner one and both work. Complete and good without either, sized at the standard 35% uptake like its sibling Guavascript, not the 100% the two tequila-mandatory builds use. The mixer already carries grapefruit, lime and agave, so nothing else is added by default. OPTIONAL ENHANCEMENT: a splash of watermelon juice or extra fresh lime on request — not scaled into the buy, both are already stocked for other drinks, so pouring a little into this one costs nothing extra to plan for. SPICY OPTION: 2-3 drops of Fee Brothers Habanero Bitters on request — ask before adding, it's a real kick, not a suggestion of heat.</t>
        </is>
      </c>
      <c r="M20" s="170" t="inlineStr">
        <is>
          <t>Blanco Tequila</t>
        </is>
      </c>
      <c r="N20" s="170">
        <f>B20*Assumptions!$B$39*Assumptions!$B$40</f>
        <v/>
      </c>
      <c r="O20" s="170" t="inlineStr">
        <is>
          <t>No — NEW, untested</t>
        </is>
      </c>
    </row>
    <row r="21" ht="15.75" customHeight="1" s="171">
      <c r="A21" s="192" t="inlineStr">
        <is>
          <t>Ranch Water</t>
        </is>
      </c>
      <c r="B21" s="193" t="n">
        <v>20</v>
      </c>
      <c r="C21" s="170">
        <f>B21/$B$24</f>
        <v/>
      </c>
      <c r="E21" s="170" t="n">
        <v>0</v>
      </c>
      <c r="F21" s="170" t="inlineStr">
        <is>
          <t>Lime juice (fresh)</t>
        </is>
      </c>
      <c r="G21" s="170" t="n">
        <v>0.5</v>
      </c>
      <c r="I21" s="170" t="n">
        <v>0</v>
      </c>
      <c r="J21" s="170" t="n">
        <v>6</v>
      </c>
      <c r="K21" s="170" t="n">
        <v>0</v>
      </c>
      <c r="L21" s="174" t="inlineStr">
        <is>
          <t>SALT RIM, then 1.5 oz blanco tequila + 0.5 oz FRESH lime + 6 oz soda water over ice. Nothing else — no syrup, no sugar, no colour. SODA WATER CUT 8 oz TO 6 ON 11 Aug 2026, which brings the drink to exactly the 8 oz house pour instead of 10 and takes 40 oz off the soda water buy. It is a tighter, less watery ranch water for it. THIS IS THE "HAVE YOU GOT ANYTHING NOT TOO SWEET?" DRINK: the only genuinely dry thing on the board, and after four days of syrup that question gets asked a lot. The non-alcoholic version is on the standing board as salted soda water + lime.</t>
        </is>
      </c>
      <c r="M21" s="170" t="inlineStr">
        <is>
          <t>Blanco Tequila</t>
        </is>
      </c>
      <c r="N21" s="170">
        <f>B21*Assumptions!$B$222*Assumptions!$B$40</f>
        <v/>
      </c>
    </row>
    <row r="22" ht="15.75" customHeight="1" s="171">
      <c r="A22" s="192" t="inlineStr">
        <is>
          <t>Margarita</t>
        </is>
      </c>
      <c r="B22" s="193" t="n">
        <v>20</v>
      </c>
      <c r="C22" s="170">
        <f>B22/$B$24</f>
        <v/>
      </c>
      <c r="D22" s="170" t="inlineStr">
        <is>
          <t>Margarita mixer</t>
        </is>
      </c>
      <c r="E22" s="170" t="n">
        <v>4</v>
      </c>
      <c r="G22" s="170" t="n">
        <v>0</v>
      </c>
      <c r="H22" s="194" t="inlineStr">
        <is>
          <t>Fresh lime</t>
        </is>
      </c>
      <c r="I22" s="170" t="n">
        <v>1</v>
      </c>
      <c r="J22" s="170" t="n">
        <v>0</v>
      </c>
      <c r="K22" s="170" t="n">
        <v>0</v>
      </c>
      <c r="L22" s="174" t="inlineStr">
        <is>
          <t>SALT RIM. 4 oz margarita mixer + 1.5 oz blanco tequila over ice, then 1 oz FRESH lime and 0.5 oz agave (Assumptions B224) TO TASTE. THE LIME AND THE AGAVE ARE OPTIONAL — the mixer already contains both; start with mixer + tequila, taste, and add only if it needs it. Both stay fully costed and are bought for other drinks anyway, so leaving them out wastes nothing. *** HIBISCUS REMOVED 11 Aug 2026 — THIS IS NOW A STANDARD MARGARITA. *** It was a hibiscus margarita built on cold-steeped flower, which meant the drink could not be poured unless someone had steeped a batch the night before. With hibiscus now also feeding the Daily Tea standing tea, that prep was competing with itself. 4 oz of mixer to 1.5 oz of tequila is the mixer's own ratio. *** THE TEQUILA IS NOT OPTIONAL HERE. *** A margarita without it is not this drink — it is sized at 100% uptake on Assumptions B222, unlike every other built drink, which sizes at 35% on B39. If someone wants it dry, pour them an Iced Tea or a Bitwise instead of a diluted margarita.</t>
        </is>
      </c>
      <c r="M22" s="170" t="inlineStr">
        <is>
          <t>Blanco Tequila</t>
        </is>
      </c>
      <c r="N22" s="170">
        <f>B22*Assumptions!$B$222*Assumptions!$B$40</f>
        <v/>
      </c>
    </row>
    <row r="23" ht="15.75" customHeight="1" s="171">
      <c r="A23" s="192" t="inlineStr">
        <is>
          <t>Guavascript</t>
        </is>
      </c>
      <c r="B23" s="193" t="n">
        <v>25</v>
      </c>
      <c r="C23" s="170">
        <f>B23/$B$24</f>
        <v/>
      </c>
      <c r="D23" s="170" t="inlineStr">
        <is>
          <t>Paloma mixer</t>
        </is>
      </c>
      <c r="E23" s="170" t="n">
        <v>3</v>
      </c>
      <c r="H23" s="170" t="inlineStr">
        <is>
          <t>Guava syrup</t>
        </is>
      </c>
      <c r="I23" s="170" t="n">
        <v>0.5</v>
      </c>
      <c r="J23" s="170" t="n">
        <v>4.5</v>
      </c>
      <c r="K23" s="170" t="n">
        <v>0</v>
      </c>
      <c r="L23" s="174" t="inlineStr">
        <is>
          <t>SALT OR TAJIN RIM. 3 oz paloma mixer + 0.5 oz guava syrup + 4.5 oz soda water over ice, lime wedge. SWITCHED FROM GUAVA PUREE TO TORANI GUAVA SYRUP 19 Aug 2026 — Reàl guava purée wasn't at Total Wine and Amazon only sells it in a 3-pack; Torani Guava syrup is the same 750ml/25.4oz format as the other Torani flavors already on the truck, easier to source. Same 0.5 oz dose carried over — syrup is thinner and sweeter than purée, so taste it against the original if you get the chance; the guava character may read a little different (less pulp/body, more straight sweetness) even at the same pour. Optional 1.5 oz blanco tequila OR vodka — tequila is the paloma, vodka is the cleaner one and both work. Complete and good without either, which is why it sizes at the standard 35% uptake rather than the 100% the two tequila builds use. OPTIONAL ENHANCEMENT: a splash of watermelon juice or extra fresh lime on request — not scaled into the buy, both are already stocked for other drinks. CONTINGENCY, 19 Aug 2026: if guava (syrup or purée) doesn't turn up at Total Wine this weekend and Amazon stays unreliable, the fallback is pulling Guavascript from the menu entirely rather than serving it without its one twist ingredient.</t>
        </is>
      </c>
      <c r="M23" s="170" t="inlineStr">
        <is>
          <t>Blanco Tequila</t>
        </is>
      </c>
      <c r="N23" s="170">
        <f>B23*Assumptions!$B$39*Assumptions!$B$40</f>
        <v/>
      </c>
      <c r="O23" s="170" t="inlineStr">
        <is>
          <t>No — NEW, untested</t>
        </is>
      </c>
    </row>
    <row r="24" ht="15.75" customHeight="1" s="171">
      <c r="A24" s="192" t="inlineStr">
        <is>
          <t>TOTAL BUILT-TO-ORDER SERVINGS</t>
        </is>
      </c>
      <c r="B24" s="192">
        <f>SUM(B3:B23)</f>
        <v/>
      </c>
      <c r="N24" s="170">
        <f>SUM(N3:N23)</f>
        <v/>
      </c>
      <c r="O24" s="170" t="inlineStr">
        <is>
          <t>Renamed from "dirty soda" — row 21 (Rawhide) is a tequila build with no canned base at all, and rows 22 and 23 carry a bottled mixer in the base slot rather than a soda: Localhost takes 4 oz of margarita mixer as of 11 Aug 2026, Guavascript 3 oz of paloma mixer. All three still roll into the "Dirty soda — canned base" bucket on Totals by Type row 10, which is a slight misnomer for three of the twenty-one. NOTE the base slot is read by "Base Soda — Cans" (which matches on soda names only, so the two mixers fall through harmlessly) AND by "Other Consumables" rows 55 and 57, which is what actually buys them — that is why the mixers sit there rather than in a syrup slot.</t>
        </is>
      </c>
    </row>
    <row r="25" ht="15.75" customHeight="1" s="171"/>
    <row r="26" ht="15.75" customHeight="1" s="171">
      <c r="A26" s="170" t="inlineStr">
        <is>
          <t>SECRET PARTY — off-menu, NOT included in TOTAL BUILT-TO-ORDER SERVINGS (B24). Camp-mate request, 21 Aug 2026. Keep off the standing board and the Menu Board — a separate menu is being built just for this event (Service Availability section 6, Start Here hard rule).</t>
        </is>
      </c>
    </row>
    <row r="27" ht="15.75" customHeight="1" s="171">
      <c r="A27" s="170" t="inlineStr">
        <is>
          <t>Recipe</t>
        </is>
      </c>
      <c r="B27" s="170" t="inlineStr">
        <is>
          <t>Servings</t>
        </is>
      </c>
      <c r="C27" s="170" t="inlineStr">
        <is>
          <t>(share)</t>
        </is>
      </c>
      <c r="D27" s="170" t="inlineStr">
        <is>
          <t>Base soda</t>
        </is>
      </c>
      <c r="E27" s="170" t="inlineStr">
        <is>
          <t>Base oz</t>
        </is>
      </c>
      <c r="F27" s="170" t="inlineStr">
        <is>
          <t>Syrup A</t>
        </is>
      </c>
      <c r="G27" s="170" t="inlineStr">
        <is>
          <t>A oz</t>
        </is>
      </c>
      <c r="H27" s="170" t="inlineStr">
        <is>
          <t>Syrup B</t>
        </is>
      </c>
      <c r="I27" s="170" t="inlineStr">
        <is>
          <t>B oz</t>
        </is>
      </c>
      <c r="J27" s="170" t="inlineStr">
        <is>
          <t>Soda water oz</t>
        </is>
      </c>
      <c r="K27" s="170" t="inlineStr">
        <is>
          <t>Coconut cream oz</t>
        </is>
      </c>
      <c r="L27" s="170" t="inlineStr">
        <is>
          <t>Special / garnish</t>
        </is>
      </c>
      <c r="M27" s="170" t="inlineStr">
        <is>
          <t>Liquor (optional)</t>
        </is>
      </c>
      <c r="N27" s="170" t="inlineStr">
        <is>
          <t>Liquor oz needed</t>
        </is>
      </c>
      <c r="O27" s="170" t="inlineStr">
        <is>
          <t>Tested?</t>
        </is>
      </c>
    </row>
    <row r="28" ht="15.75" customHeight="1" s="171">
      <c r="A28" s="170" t="inlineStr">
        <is>
          <t>Vodka Shot</t>
        </is>
      </c>
      <c r="B28" s="170">
        <f>Assumptions!$B$286</f>
        <v/>
      </c>
      <c r="C28" s="170">
        <f>B28/$B$34</f>
        <v/>
      </c>
      <c r="D28" s="170" t="inlineStr">
        <is>
          <t>—</t>
        </is>
      </c>
      <c r="L28" s="170" t="inlineStr">
        <is>
          <t>SECRET PARTY. Neat or on the rocks — no mixer, no build, fastest possible pour. This is the "I just need it in a cup" option when the line gets long.</t>
        </is>
      </c>
      <c r="M28" s="170" t="inlineStr">
        <is>
          <t>Vodka</t>
        </is>
      </c>
      <c r="N28" s="170">
        <f>B28*Assumptions!$B$277*Assumptions!$B$40</f>
        <v/>
      </c>
      <c r="O28" s="170" t="inlineStr">
        <is>
          <t>No — NEW, off-menu</t>
        </is>
      </c>
    </row>
    <row r="29" ht="15.75" customHeight="1" s="171">
      <c r="A29" s="170" t="inlineStr">
        <is>
          <t>Vodka Cranberry</t>
        </is>
      </c>
      <c r="B29" s="170">
        <f>Assumptions!$B$287</f>
        <v/>
      </c>
      <c r="C29" s="170">
        <f>B29/$B$34</f>
        <v/>
      </c>
      <c r="D29" s="170" t="inlineStr">
        <is>
          <t>Cranberry juice</t>
        </is>
      </c>
      <c r="E29" s="170">
        <f>Assumptions!$B$293</f>
        <v/>
      </c>
      <c r="L29" s="170" t="inlineStr">
        <is>
          <t>SECRET PARTY. Vodka + cranberry juice over ice. One pour, no muddle — built for a fast line.</t>
        </is>
      </c>
      <c r="M29" s="170" t="inlineStr">
        <is>
          <t>Vodka</t>
        </is>
      </c>
      <c r="N29" s="170">
        <f>B29*Assumptions!$B$277*Assumptions!$B$40</f>
        <v/>
      </c>
      <c r="O29" s="170" t="inlineStr">
        <is>
          <t>No — NEW, off-menu</t>
        </is>
      </c>
    </row>
    <row r="30" ht="15.75" customHeight="1" s="171">
      <c r="A30" s="170" t="inlineStr">
        <is>
          <t>Screwdriver</t>
        </is>
      </c>
      <c r="B30" s="170">
        <f>Assumptions!$B$288</f>
        <v/>
      </c>
      <c r="C30" s="170">
        <f>B30/$B$34</f>
        <v/>
      </c>
      <c r="D30" s="170" t="inlineStr">
        <is>
          <t>Orange juice</t>
        </is>
      </c>
      <c r="E30" s="170">
        <f>Assumptions!$B$294</f>
        <v/>
      </c>
      <c r="L30" s="170" t="inlineStr">
        <is>
          <t>SECRET PARTY. Vodka + orange juice over ice.</t>
        </is>
      </c>
      <c r="M30" s="170" t="inlineStr">
        <is>
          <t>Vodka</t>
        </is>
      </c>
      <c r="N30" s="170">
        <f>B30*Assumptions!$B$277*Assumptions!$B$40</f>
        <v/>
      </c>
      <c r="O30" s="170" t="inlineStr">
        <is>
          <t>No — NEW, off-menu</t>
        </is>
      </c>
    </row>
    <row r="31" ht="15.75" customHeight="1" s="171">
      <c r="A31" s="170" t="inlineStr">
        <is>
          <t>Vodka Red Bull</t>
        </is>
      </c>
      <c r="B31" s="170">
        <f>Assumptions!$B$289</f>
        <v/>
      </c>
      <c r="C31" s="170">
        <f>B31/$B$34</f>
        <v/>
      </c>
      <c r="D31" s="170" t="inlineStr">
        <is>
          <t>Red Bull</t>
        </is>
      </c>
      <c r="E31" s="170" t="n">
        <v>4</v>
      </c>
      <c r="L31" s="170" t="inlineStr">
        <is>
          <t>SECRET PARTY. Vodka + Red Bull over ice — draws off the Red Bull already stocked for the standing board (Bar Add-Ons), not a new purchase. Either flavor works; save the Yellow Edition for Catboy Piss if both land the same night.</t>
        </is>
      </c>
      <c r="M31" s="170" t="inlineStr">
        <is>
          <t>Vodka</t>
        </is>
      </c>
      <c r="N31" s="170">
        <f>B31*Assumptions!$B$277*Assumptions!$B$40</f>
        <v/>
      </c>
      <c r="O31" s="170" t="inlineStr">
        <is>
          <t>No — NEW, off-menu</t>
        </is>
      </c>
    </row>
    <row r="32" ht="15.75" customHeight="1" s="171">
      <c r="A32" s="170" t="inlineStr">
        <is>
          <t>Vodka Lemonade</t>
        </is>
      </c>
      <c r="B32" s="170">
        <f>Assumptions!$B$290</f>
        <v/>
      </c>
      <c r="C32" s="170">
        <f>B32/$B$34</f>
        <v/>
      </c>
      <c r="D32" s="170" t="inlineStr">
        <is>
          <t>Lemonade</t>
        </is>
      </c>
      <c r="E32" s="170" t="n">
        <v>4</v>
      </c>
      <c r="L32" s="170" t="inlineStr">
        <is>
          <t>SECRET PARTY. Vodka + lemonade over ice — draws off the lemonade already stocked for Watermelon Sugar High, not a new purchase.</t>
        </is>
      </c>
      <c r="M32" s="170" t="inlineStr">
        <is>
          <t>Vodka</t>
        </is>
      </c>
      <c r="N32" s="170">
        <f>B32*Assumptions!$B$277*Assumptions!$B$40</f>
        <v/>
      </c>
      <c r="O32" s="170" t="inlineStr">
        <is>
          <t>No — NEW, off-menu</t>
        </is>
      </c>
    </row>
    <row r="33" ht="15.75" customHeight="1" s="171">
      <c r="A33" s="170" t="inlineStr">
        <is>
          <t>Vodka Soda</t>
        </is>
      </c>
      <c r="B33" s="170">
        <f>Assumptions!$B$291</f>
        <v/>
      </c>
      <c r="C33" s="170">
        <f>B33/$B$34</f>
        <v/>
      </c>
      <c r="D33" s="170" t="inlineStr">
        <is>
          <t>Soda water</t>
        </is>
      </c>
      <c r="E33" s="170" t="n">
        <v>4</v>
      </c>
      <c r="L33" s="170" t="inlineStr">
        <is>
          <t>SECRET PARTY. Vodka + soda water + lime squeeze — draws off soda water already stocked, assumed sufficient for this event (no extra purchase added, per your 21 Aug 2026 call). REPLACED VODKA TONIC 21 Aug 2026.</t>
        </is>
      </c>
      <c r="M33" s="170" t="inlineStr">
        <is>
          <t>Vodka</t>
        </is>
      </c>
      <c r="N33" s="170">
        <f>B33*Assumptions!$B$277*Assumptions!$B$40</f>
        <v/>
      </c>
      <c r="O33" s="170" t="inlineStr">
        <is>
          <t>No — NEW, off-menu</t>
        </is>
      </c>
    </row>
    <row r="34" ht="15.75" customHeight="1" s="171">
      <c r="A34" s="170" t="inlineStr">
        <is>
          <t>TOTAL SECRET PARTY SERVINGS</t>
        </is>
      </c>
      <c r="B34" s="170">
        <f>SUM(B28:B33)</f>
        <v/>
      </c>
      <c r="N34" s="170">
        <f>SUM(N28:N33)</f>
        <v/>
      </c>
    </row>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1048575" ht="12.75" customHeight="1" s="171"/>
    <row r="1048576" ht="12.75" customHeight="1" s="171"/>
  </sheetData>
  <mergeCells count="2">
    <mergeCell ref="A26:L26"/>
    <mergeCell ref="A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F3B0"/>
    <outlinePr summaryBelow="1" summaryRight="1"/>
    <pageSetUpPr fitToPage="0"/>
  </sheetPr>
  <dimension ref="A1:S32"/>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F5" activeCellId="0" sqref="F5"/>
    </sheetView>
  </sheetViews>
  <sheetFormatPr baseColWidth="8" defaultColWidth="8.4296875" defaultRowHeight="15" zeroHeight="0" outlineLevelRow="0"/>
  <cols>
    <col width="10" customWidth="1" style="170" min="1" max="1"/>
    <col width="6" customWidth="1" style="170" min="2" max="2"/>
    <col width="34" customWidth="1" style="170" min="3" max="3"/>
    <col width="12" customWidth="1" style="170" min="4" max="4"/>
    <col width="26" customWidth="1" style="170" min="5" max="5"/>
    <col width="18.34" customWidth="1" style="170" min="6" max="6"/>
    <col width="10" customWidth="1" style="170" min="7" max="7"/>
    <col width="1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5" t="inlineStr">
        <is>
          <t>Jug Recipes — the nightly 10 L batch, and what goes in it</t>
        </is>
      </c>
    </row>
    <row r="2" ht="15" customHeight="1" s="171">
      <c r="A2" s="174" t="inlineStr">
        <is>
          <t>One batch per night. SET THE NUMBER OF JUGS IN COLUMN B — servings and every ingredient quantity scale off it automatically, and the buy quantities at the bottom of this tab follow. Wednesday already runs 3 jugs for the next-door party. Ingredients are listed strongest-first with water/ice fills last, so nothing real hides behind a zero. READ THE NOTES COLUMN: Sunday’s Cherry Bomb is built in two halves, and Thursday’s Fee Brothers Cherry Bitters go into the cup rather than the jug. SATURDAY AND THE CLOSING SUNDAY POUR THE SAME PEACH GREEN ICED TEA — two separate overnight steeps, one started Friday night and one Saturday night. Day-by-day prep is on ‘Daily Schedule’.</t>
        </is>
      </c>
    </row>
    <row r="3" ht="15" customHeight="1" s="171">
      <c r="A3" s="175" t="inlineStr">
        <is>
          <t>Day</t>
        </is>
      </c>
      <c r="B3" s="195" t="inlineStr">
        <is>
          <t># Jugs</t>
        </is>
      </c>
      <c r="C3" s="175" t="inlineStr">
        <is>
          <t>Offering</t>
        </is>
      </c>
      <c r="D3" s="175" t="inlineStr">
        <is>
          <t>Format</t>
        </is>
      </c>
      <c r="E3" s="175" t="inlineStr">
        <is>
          <t>Servings</t>
        </is>
      </c>
      <c r="F3" s="175" t="inlineStr">
        <is>
          <t>Ingredient 1</t>
        </is>
      </c>
      <c r="G3" s="175" t="inlineStr">
        <is>
          <t>Ing 1 oz</t>
        </is>
      </c>
      <c r="H3" s="175" t="inlineStr">
        <is>
          <t>Ingredient 2</t>
        </is>
      </c>
      <c r="I3" s="175" t="inlineStr">
        <is>
          <t>Ing 2 oz</t>
        </is>
      </c>
      <c r="J3" s="175" t="inlineStr">
        <is>
          <t>Ingredient 3</t>
        </is>
      </c>
      <c r="K3" s="175" t="inlineStr">
        <is>
          <t>Ing 3 oz</t>
        </is>
      </c>
      <c r="L3" s="175" t="inlineStr">
        <is>
          <t>Ingredient 4</t>
        </is>
      </c>
      <c r="M3" s="175" t="inlineStr">
        <is>
          <t>Ing 4 oz</t>
        </is>
      </c>
      <c r="N3" s="175" t="inlineStr">
        <is>
          <t>Ingredient 5</t>
        </is>
      </c>
      <c r="O3" s="175" t="inlineStr">
        <is>
          <t>Ing 5 oz</t>
        </is>
      </c>
      <c r="P3" s="175" t="inlineStr">
        <is>
          <t>Alcohol (optional)</t>
        </is>
      </c>
      <c r="Q3" s="175" t="inlineStr">
        <is>
          <t>Alcohol — 2nd option (SIGNAGE ONLY)</t>
        </is>
      </c>
      <c r="R3" s="175" t="inlineStr">
        <is>
          <t>Alcohol oz needed</t>
        </is>
      </c>
      <c r="S3" s="175" t="inlineStr">
        <is>
          <t>Notes</t>
        </is>
      </c>
    </row>
    <row r="4" ht="15" customHeight="1" s="171">
      <c r="A4" s="175" t="inlineStr">
        <is>
          <t>Sunday</t>
        </is>
      </c>
      <c r="B4" s="193" t="n">
        <v>1</v>
      </c>
      <c r="C4" s="175" t="inlineStr">
        <is>
          <t>Cherry Bomb (Cherry Limeade)</t>
        </is>
      </c>
      <c r="D4" s="175">
        <f>IF(B4=1,"10 L jug",B4&amp;" x 10 L jugs")</f>
        <v/>
      </c>
      <c r="E4" s="196">
        <f>B4*Assumptions!$B$117</f>
        <v/>
      </c>
      <c r="F4" s="175" t="inlineStr">
        <is>
          <t>Sprite</t>
        </is>
      </c>
      <c r="G4" s="175">
        <f>E4*2.5</f>
        <v/>
      </c>
      <c r="H4" s="175" t="inlineStr">
        <is>
          <t>Cherry syrup</t>
        </is>
      </c>
      <c r="I4" s="175">
        <f>E4*1.5</f>
        <v/>
      </c>
      <c r="J4" s="175" t="inlineStr">
        <is>
          <t>Lime juice (bottled)</t>
        </is>
      </c>
      <c r="K4" s="175">
        <f>E4*1</f>
        <v/>
      </c>
      <c r="L4" s="175" t="inlineStr">
        <is>
          <t>Soda water</t>
        </is>
      </c>
      <c r="M4" s="175">
        <f>E4*1</f>
        <v/>
      </c>
      <c r="N4" s="175" t="inlineStr">
        <is>
          <t>Maraschino cherries (garnish)</t>
        </is>
      </c>
      <c r="O4" s="175" t="n">
        <v>0</v>
      </c>
      <c r="P4" s="175" t="inlineStr">
        <is>
          <t>Vodka</t>
        </is>
      </c>
      <c r="Q4" s="175" t="inlineStr">
        <is>
          <t>Blanco Tequila</t>
        </is>
      </c>
      <c r="R4" s="170">
        <f>E4*Assumptions!$B$39*Assumptions!$B$40</f>
        <v/>
      </c>
      <c r="S4" s="174" t="inlineStr">
        <is>
          <t>Sonic-style cherry limeade, opening night. Cherry syrup doubled to 1.5 oz/serving — at 0.75 against a full ounce of bottled lime it read sour and thin. Lime:syrup now 1:1.5. BUILD IT IN TWO HALVES: this pours in a 1-2 hour arrival window, so make ~17 servings, then build the second half when the first is a third down. The Sprite and soda water stay fizzy in the bottle until they are needed, which is the whole reason this one gets away with carbonation. ~0.75 tsp salt per half.</t>
        </is>
      </c>
    </row>
    <row r="5" ht="15" customHeight="1" s="171">
      <c r="A5" s="170" t="inlineStr">
        <is>
          <t>Monday</t>
        </is>
      </c>
      <c r="B5" s="193" t="n">
        <v>1</v>
      </c>
      <c r="C5" s="170" t="inlineStr">
        <is>
          <t>Hard Reset (Watermelon-Mint Aqua Fresca)</t>
        </is>
      </c>
      <c r="D5" s="170">
        <f>IF(B5=1,"10 L jug",B5&amp;" x 10 L jugs")</f>
        <v/>
      </c>
      <c r="E5" s="197">
        <f>B5*Assumptions!$B$117</f>
        <v/>
      </c>
      <c r="F5" s="170" t="inlineStr">
        <is>
          <t>Watermelon (fresh, blended)</t>
        </is>
      </c>
      <c r="G5" s="170">
        <f>E5*Assumptions!$B$51</f>
        <v/>
      </c>
      <c r="H5" s="170" t="inlineStr">
        <is>
          <t>Agave syrup</t>
        </is>
      </c>
      <c r="I5" s="170">
        <f>E5*Assumptions!$B$54</f>
        <v/>
      </c>
      <c r="J5" s="170" t="inlineStr">
        <is>
          <t>Fresh mint (blended)</t>
        </is>
      </c>
      <c r="K5" s="170" t="n">
        <v>5</v>
      </c>
      <c r="L5" s="170" t="inlineStr">
        <is>
          <t>Fresh lime (squeeze)</t>
        </is>
      </c>
      <c r="M5" s="170" t="n">
        <v>0</v>
      </c>
      <c r="N5" s="170" t="inlineStr">
        <is>
          <t>Water (fill)</t>
        </is>
      </c>
      <c r="O5" s="170" t="n">
        <v>0</v>
      </c>
      <c r="P5" s="170" t="inlineStr">
        <is>
          <t>Blanco Tequila</t>
        </is>
      </c>
      <c r="Q5" s="170" t="inlineStr">
        <is>
          <t>Vodka</t>
        </is>
      </c>
      <c r="R5" s="170">
        <f>E5*Assumptions!$B$39*Assumptions!$B$40</f>
        <v/>
      </c>
      <c r="S5" s="170" t="inlineStr">
        <is>
          <t>Blend melon chunks with a handful of mint, strain rough, add agave + lime, top with STILL water to fill the jug (traditional fresca — skip tonic; optional soda-water splash per cup for fizz). ~1-2 melons per batch; melons travel fine unrefrigerated. Optional Blanco Tequila per cup makes it a watermelon margarita — melon, mint and lime are already the whole drink.</t>
        </is>
      </c>
    </row>
    <row r="6" ht="15" customHeight="1" s="171">
      <c r="A6" s="170" t="inlineStr">
        <is>
          <t>Tuesday</t>
        </is>
      </c>
      <c r="B6" s="193" t="n">
        <v>1</v>
      </c>
      <c r="C6" s="170" t="inlineStr">
        <is>
          <t>Smoke Test (Lapsang Souchong Lemonade)</t>
        </is>
      </c>
      <c r="D6" s="170">
        <f>IF(B6=1,"10 L jug",B6&amp;" x 10 L jugs")</f>
        <v/>
      </c>
      <c r="E6" s="197">
        <f>B6*Assumptions!$B$117</f>
        <v/>
      </c>
      <c r="F6" s="170" t="inlineStr">
        <is>
          <t>Lapsang souchong</t>
        </is>
      </c>
      <c r="G6" s="170">
        <f>E6*Assumptions!$B$142</f>
        <v/>
      </c>
      <c r="H6" s="170" t="inlineStr">
        <is>
          <t>Lemonade</t>
        </is>
      </c>
      <c r="I6" s="170">
        <f>E6*3</f>
        <v/>
      </c>
      <c r="J6" s="170" t="inlineStr">
        <is>
          <t>Lime juice (bottled)</t>
        </is>
      </c>
      <c r="K6" s="170">
        <f>E6*0.5</f>
        <v/>
      </c>
      <c r="L6" s="170" t="inlineStr">
        <is>
          <t>Water/ice (fill)</t>
        </is>
      </c>
      <c r="M6" s="170" t="n">
        <v>0</v>
      </c>
      <c r="O6" s="170" t="n">
        <v>0</v>
      </c>
      <c r="P6" s="170" t="inlineStr">
        <is>
          <t>Whiskey</t>
        </is>
      </c>
      <c r="Q6" s="170" t="inlineStr">
        <is>
          <t>Spiced Rum</t>
        </is>
      </c>
      <c r="R6" s="170">
        <f>E6*Assumptions!$B$39*Assumptions!$B$40</f>
        <v/>
      </c>
      <c r="S6" s="170" t="inlineStr">
        <is>
          <t>Cold-steep ~2 oz of lapsang leaf overnight (or steep hot and chill) to make ~1.3 gal of STRONG smoky tea, then build the jug: 5 oz strong tea + 3 oz lemonade + 0.5 oz lime per serving, topped with water/ice. ~1.5 tsp salt per jug. Naturally still, so nothing to go flat. WARNING: lapsang runs from 'campfire' to 'ashtray' fast — brew it weaker than you think and taste before committing the jug. Optional Whiskey leans into the smoke.</t>
        </is>
      </c>
    </row>
    <row r="7" ht="15" customHeight="1" s="171">
      <c r="A7" s="170" t="inlineStr">
        <is>
          <t>Wednesday</t>
        </is>
      </c>
      <c r="B7" s="193" t="n">
        <v>2</v>
      </c>
      <c r="C7" s="170" t="inlineStr">
        <is>
          <t>Red Flag (Agua de Jamaica)</t>
        </is>
      </c>
      <c r="D7" s="170">
        <f>IF(B7=1,"10 L jug",B7&amp;" x 10 L jugs")</f>
        <v/>
      </c>
      <c r="E7" s="196">
        <f>B7*Assumptions!$B$117</f>
        <v/>
      </c>
      <c r="F7" s="175" t="inlineStr">
        <is>
          <t>Dried hibiscus</t>
        </is>
      </c>
      <c r="G7" s="175">
        <f>E7*Assumptions!$B$124</f>
        <v/>
      </c>
      <c r="H7" s="175" t="inlineStr">
        <is>
          <t>Agave syrup</t>
        </is>
      </c>
      <c r="I7" s="175">
        <f>E7*0.5</f>
        <v/>
      </c>
      <c r="J7" s="175" t="inlineStr">
        <is>
          <t>Lime juice (bottled)</t>
        </is>
      </c>
      <c r="K7" s="175">
        <f>E7*0.5</f>
        <v/>
      </c>
      <c r="L7" s="175" t="inlineStr">
        <is>
          <t>Water (fill)</t>
        </is>
      </c>
      <c r="M7" s="175" t="n">
        <v>0</v>
      </c>
      <c r="N7" s="175" t="n"/>
      <c r="O7" s="175" t="n">
        <v>0</v>
      </c>
      <c r="P7" s="175" t="inlineStr">
        <is>
          <t>Blanco Tequila</t>
        </is>
      </c>
      <c r="Q7" s="175" t="inlineStr">
        <is>
          <t>Spiced Rum</t>
        </is>
      </c>
      <c r="R7" s="170">
        <f>E7*Assumptions!$B$39*Assumptions!$B$40</f>
        <v/>
      </c>
      <c r="S7" s="174" t="inlineStr">
        <is>
          <t>Hibiscus agua fresca — steep the dried flowers, strain, cool, sweeten with agave, fill with cold water/ice. Cold-steeping overnight works too. TWO JUGS PREPPED (66 servings) — double a normal night, which is what the next-door party needs. A THIRD IS BACKUP ONLY and costs nothing to keep in reserve: one 1 lb bag of hibiscus is ~188 servings' worth, so the flowers for a third and fourth jug are already on the truck. If the party outruns two jugs, make the extra as concentrate — see 'Jug Build Steps'. Agave raised to 0.5 oz/serving; hibiscus is far tarter than the watermelon and was getting less sugar, which was backwards. Naturally still. ~1.5 tsp salt per jug. STAINS.</t>
        </is>
      </c>
    </row>
    <row r="8" ht="15" customHeight="1" s="171">
      <c r="A8" s="170" t="inlineStr">
        <is>
          <t>Thursday</t>
        </is>
      </c>
      <c r="B8" s="193" t="n">
        <v>1</v>
      </c>
      <c r="C8" s="170" t="inlineStr">
        <is>
          <t>Gradient Descent (Malibu Sunrise)</t>
        </is>
      </c>
      <c r="D8" s="170">
        <f>IF(B8=1,"10 L jug",B8&amp;" x 10 L jugs")</f>
        <v/>
      </c>
      <c r="E8" s="197">
        <f>B8*Assumptions!$B$117</f>
        <v/>
      </c>
      <c r="F8" s="170" t="inlineStr">
        <is>
          <t>Orange juice</t>
        </is>
      </c>
      <c r="G8" s="170">
        <f>E8*3</f>
        <v/>
      </c>
      <c r="H8" s="170" t="inlineStr">
        <is>
          <t>Pineapple juice</t>
        </is>
      </c>
      <c r="I8" s="170">
        <f>E8*2.5</f>
        <v/>
      </c>
      <c r="J8" s="170" t="inlineStr">
        <is>
          <t>Fee Brothers Cherry Bitters (garnish, a few dashes per cup — not batched)</t>
        </is>
      </c>
      <c r="K8" s="170" t="n">
        <v>0</v>
      </c>
      <c r="L8" s="170" t="inlineStr">
        <is>
          <t>Lime juice (bottled)</t>
        </is>
      </c>
      <c r="M8" s="170">
        <f>E8*0.5</f>
        <v/>
      </c>
      <c r="N8" s="170" t="inlineStr">
        <is>
          <t>Passion fruit purée</t>
        </is>
      </c>
      <c r="O8" s="170">
        <f>E8*0.5</f>
        <v/>
      </c>
      <c r="P8" s="170" t="inlineStr">
        <is>
          <t>Coconut Rum</t>
        </is>
      </c>
      <c r="Q8" s="170" t="inlineStr">
        <is>
          <t>Spiced Rum</t>
        </is>
      </c>
      <c r="R8" s="170">
        <f>E8*Assumptions!$B$39*Assumptions!$B$40</f>
        <v/>
      </c>
      <c r="S8" s="174" t="inlineStr">
        <is>
          <t>Batch OJ + pineapple + passion fruit + lime in the jug, then top with water/ice. JUICE TRIMMED AGAIN — OJ 4 to 3 oz, pineapple 3 to 2.5 oz. At 8.5 oz of juice in a 10 oz cup this was essentially undiluted juice, the sugariest thing on the board and the most likely to make someone feel worse in the heat. Add 2-3 dashes of Fee Brothers Cherry Bitters to each CUP, not the jug, for a cherry note and a light color vein — swapped off grenadine 18 Aug 2026. Dashes are a subtler effect than the old 0.5 oz syrup drizzle: expect a soft tint, not the heavy syrup-sink gradient grenadine gave. ~1.5 tsp salt per jug. Optional Malibu per cup.</t>
        </is>
      </c>
    </row>
    <row r="9" ht="15" customHeight="1" s="171">
      <c r="A9" s="170" t="inlineStr">
        <is>
          <t>Friday</t>
        </is>
      </c>
      <c r="B9" s="193" t="n">
        <v>1</v>
      </c>
      <c r="C9" s="170" t="inlineStr">
        <is>
          <t>Whore-chata</t>
        </is>
      </c>
      <c r="D9" s="170">
        <f>IF(B9=1,"10 L jug",B9&amp;" x 10 L jugs")</f>
        <v/>
      </c>
      <c r="E9" s="197">
        <f>B9*Assumptions!$B$117</f>
        <v/>
      </c>
      <c r="F9" s="170" t="inlineStr">
        <is>
          <t>Rice Dream Horchata (ready-to-drink)</t>
        </is>
      </c>
      <c r="G9" s="170">
        <f>E9*5</f>
        <v/>
      </c>
      <c r="H9" s="170" t="inlineStr">
        <is>
          <t>Coconut cream</t>
        </is>
      </c>
      <c r="I9" s="170">
        <f>E9*0.5</f>
        <v/>
      </c>
      <c r="J9" s="170" t="inlineStr">
        <is>
          <t>Vanilla syrup</t>
        </is>
      </c>
      <c r="K9" s="170">
        <f>E9*0.25</f>
        <v/>
      </c>
      <c r="L9" s="170" t="inlineStr">
        <is>
          <t>Water/ice (fill)</t>
        </is>
      </c>
      <c r="M9" s="170" t="n">
        <v>0</v>
      </c>
      <c r="P9" s="170" t="inlineStr">
        <is>
          <t>Spiced Rum</t>
        </is>
      </c>
      <c r="Q9" s="170" t="inlineStr">
        <is>
          <t>Bourbon</t>
        </is>
      </c>
      <c r="R9" s="170">
        <f>E9*Assumptions!$B$39*Assumptions!$B$40</f>
        <v/>
      </c>
      <c r="S9" s="174" t="inlineStr">
        <is>
          <t>Rice-milk base + cinnamon/vanilla syrup, batched cold; optional Spiced Rum float. SWITCHED TO READY-TO-DRINK 18 Aug 2026 — Rice Dream Horchata, 32 oz bottles, poured straight in rather than mixed from concentrate. Same 5 oz/serving pour as before (RAISED from 3 oz to 5 oz on the original concentrate build, so it stays generous here too); at 3 oz in a 10 oz cup it read as cinnamon water. Horchata should be opaque and rich. See Purchase List row 46 and Assumptions B16-18 (retired) for the sourcing history.</t>
        </is>
      </c>
    </row>
    <row r="10" ht="15" customHeight="1" s="171">
      <c r="A10" s="170" t="inlineStr">
        <is>
          <t>Saturday</t>
        </is>
      </c>
      <c r="B10" s="193" t="n">
        <v>1</v>
      </c>
      <c r="C10" s="170" t="inlineStr">
        <is>
          <t>Sleep Mode (Peach Green Iced Tea)</t>
        </is>
      </c>
      <c r="D10" s="170">
        <f>IF(B10=1,"10 L jug",B10&amp;" x 10 L jugs")</f>
        <v/>
      </c>
      <c r="E10" s="197">
        <f>B10*Assumptions!$B$117</f>
        <v/>
      </c>
      <c r="F10" s="170" t="inlineStr">
        <is>
          <t>Green tea (cold-steeped)</t>
        </is>
      </c>
      <c r="G10" s="170">
        <f>E10*8</f>
        <v/>
      </c>
      <c r="H10" s="170" t="inlineStr">
        <is>
          <t>Peach syrup</t>
        </is>
      </c>
      <c r="I10" s="170">
        <f>E10*1</f>
        <v/>
      </c>
      <c r="J10" s="170" t="inlineStr">
        <is>
          <t>Lemon juice (bottled)</t>
        </is>
      </c>
      <c r="K10" s="170">
        <f>E10*0.5</f>
        <v/>
      </c>
      <c r="L10" s="170" t="inlineStr">
        <is>
          <t>Agave syrup</t>
        </is>
      </c>
      <c r="M10" s="170">
        <f>E10*0.25</f>
        <v/>
      </c>
      <c r="N10" s="170" t="inlineStr">
        <is>
          <t>Water/ice (fill)</t>
        </is>
      </c>
      <c r="O10" s="170" t="n">
        <v>0</v>
      </c>
      <c r="P10" s="170" t="inlineStr">
        <is>
          <t>Whiskey</t>
        </is>
      </c>
      <c r="Q10" s="170" t="inlineStr">
        <is>
          <t>Vodka</t>
        </is>
      </c>
      <c r="R10" s="170">
        <f>E10*Assumptions!$B$39*Assumptions!$B$40</f>
        <v/>
      </c>
      <c r="S10" s="198" t="inlineStr">
        <is>
          <t>THE SAME DRINK AS THE CLOSING SUNDAY’S GRACEFUL SHUTDOWN, ON PURPOSE. Saturday is the Catboy Café night — Sakura Kisses, Catboy Snot and Catboy Piss all land built-to-order on top of the full standing board — so the jug has to be the one thing nobody has to think about. Cold-steeped green tea, peach syrup, fresh lemon, a little agave. STEEP IT FRIDAY NIGHT with the rest of the Saturday prep, in its own sealed, labelled container; Sunday’s jug gets a SECOND steep on Saturday night. Naturally still, so nothing goes flat across a long night, and nothing needs stirring mid-service. ~1.5 tsp salt per jug. Taste BEFORE the ice — peach syrup varies, and this should read as tea with peach behind it, not peach squash. REPLACED BLUE SCREEN OF DEATH: the DIY Baja Blast wanted a per-cup Mountain Dew top-up from a recapped 2 L and a spirulina jug stirred every 20 minutes, which is the last thing the busiest night of the week needs.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1" ht="15" customHeight="1" s="171">
      <c r="A11" s="170" t="inlineStr">
        <is>
          <t>Sunday (closing)</t>
        </is>
      </c>
      <c r="B11" s="193" t="n">
        <v>1</v>
      </c>
      <c r="C11" s="170" t="inlineStr">
        <is>
          <t>Graceful Shutdown (Peach Green Iced Tea)</t>
        </is>
      </c>
      <c r="D11" s="170">
        <f>IF(B11=1,"10 L jug",B11&amp;" x 10 L jugs")</f>
        <v/>
      </c>
      <c r="E11" s="197">
        <f>B11*Assumptions!$B$117</f>
        <v/>
      </c>
      <c r="F11" s="170" t="inlineStr">
        <is>
          <t>Green tea (cold-steeped)</t>
        </is>
      </c>
      <c r="G11" s="170">
        <f>E11*8</f>
        <v/>
      </c>
      <c r="H11" s="170" t="inlineStr">
        <is>
          <t>Peach syrup</t>
        </is>
      </c>
      <c r="I11" s="170">
        <f>E11*1</f>
        <v/>
      </c>
      <c r="J11" s="170" t="inlineStr">
        <is>
          <t>Lemon juice (bottled)</t>
        </is>
      </c>
      <c r="K11" s="170">
        <f>E11*0.5</f>
        <v/>
      </c>
      <c r="L11" s="170" t="inlineStr">
        <is>
          <t>Agave syrup</t>
        </is>
      </c>
      <c r="M11" s="170">
        <f>E11*0.25</f>
        <v/>
      </c>
      <c r="N11" s="170" t="inlineStr">
        <is>
          <t>Water/ice (fill)</t>
        </is>
      </c>
      <c r="O11" s="170" t="n">
        <v>0</v>
      </c>
      <c r="P11" s="170" t="inlineStr">
        <is>
          <t>Whiskey</t>
        </is>
      </c>
      <c r="Q11" s="170" t="inlineStr">
        <is>
          <t>Vodka</t>
        </is>
      </c>
      <c r="R11" s="170">
        <f>E11*Assumptions!$B$39*Assumptions!$B$40</f>
        <v/>
      </c>
      <c r="S11" s="198" t="inlineStr">
        <is>
          <t>CLOSING SUNDAY, DAYTIME — the extra service day, not a night jug. Cold-steeped green tea, peach syrup, fresh lemon and a little agave. Cheapest jug of the week by a distance: the green tea comes out of the 100-bag camp box that camp barely touches, and the agave and lemons are already on the list. Serve it long over ice; cut it with soda water for anyone who wants it unsweetened. Steep the tea SATURDAY NIGHT — it is the one prep job that survives the busiest day of the week. LEMON IS BOTTLED FOR THIS JUG (Purchase List row 44). 16.5 oz into a 10 L batch is about a dozen hand-squeezed lemons for something nobody can taste against the peach syrup and the tea. The fresh lemons are reserved for the per-drink squeezes on SCOBY Mule and Clear Cache.</t>
        </is>
      </c>
    </row>
    <row r="12" ht="15" customHeight="1" s="171">
      <c r="A12" s="170" t="inlineStr">
        <is>
          <t>ANY NIGHT</t>
        </is>
      </c>
      <c r="B12" s="170" t="inlineStr">
        <is>
          <t>—</t>
        </is>
      </c>
      <c r="C12" s="170" t="inlineStr">
        <is>
          <t>Turtle Soup (Mix of leftover alcohol)</t>
        </is>
      </c>
      <c r="S12" s="170" t="inlineStr">
        <is>
          <t>This is JUST for signage purposes, it will be made from whatever is left over.</t>
        </is>
      </c>
    </row>
    <row r="13" ht="15" customHeight="1" s="171">
      <c r="A13" s="170" t="inlineStr">
        <is>
          <t>BACKUP</t>
        </is>
      </c>
      <c r="B13" s="170" t="inlineStr">
        <is>
          <t>—</t>
        </is>
      </c>
      <c r="C13" s="170" t="inlineStr">
        <is>
          <t>Salted Limeade (spare jug — no extra shopping)</t>
        </is>
      </c>
      <c r="D13" s="170" t="inlineStr">
        <is>
          <t>10 L jug</t>
        </is>
      </c>
      <c r="S13" s="170" t="inlineStr">
        <is>
          <t>Fallback if a night runs dry or we want a 7th jug: lime juice 1oz + agave 0.5oz + water/ice to fill + ~1.5 tsp salt per jug. Deliberately left at 0 servings so it buys nothing — by the back half of the week we will already have the lime, syrup and salt on hand. Give it a serving count only if we decide to actually run it.</t>
        </is>
      </c>
    </row>
    <row r="14" ht="15" customHeight="1" s="171">
      <c r="C14" s="170" t="inlineStr">
        <is>
          <t>Sakura Kisses (Described in Built Drinks)</t>
        </is>
      </c>
    </row>
    <row r="15" ht="15" customHeight="1" s="171"/>
    <row r="17" ht="15" customHeight="1" s="171">
      <c r="A17" s="175" t="inlineStr">
        <is>
          <t>INGREDIENT TOTALS (jug-batch buys)</t>
        </is>
      </c>
      <c r="B17" s="170" t="inlineStr">
        <is>
          <t>Total oz</t>
        </is>
      </c>
      <c r="C17" s="170" t="inlineStr">
        <is>
          <t>+buffer</t>
        </is>
      </c>
      <c r="D17" s="170" t="inlineStr">
        <is>
          <t>Units to buy</t>
        </is>
      </c>
      <c r="E17" s="170" t="inlineStr">
        <is>
          <t>$/unit</t>
        </is>
      </c>
      <c r="F17" s="170" t="inlineStr">
        <is>
          <t>Subtotal</t>
        </is>
      </c>
      <c r="G17" s="170" t="inlineStr">
        <is>
          <t>Note</t>
        </is>
      </c>
    </row>
    <row r="18" ht="15" customHeight="1" s="171">
      <c r="A18" s="170" t="inlineStr">
        <is>
          <t>Watermelon (whole melons)</t>
        </is>
      </c>
      <c r="B18" s="170">
        <f>SUMPRODUCT(('Jug Recipes'!$F$4:$F$15="Watermelon (fresh, blended)")*'Jug Recipes'!$G$4:$G$15)+SUMPRODUCT(('Jug Recipes'!$H$4:$H$15="Watermelon (fresh, blended)")*'Jug Recipes'!$I$4:$I$15)+SUMPRODUCT(('Jug Recipes'!$J$4:$J$15="Watermelon (fresh, blended)")*'Jug Recipes'!$K$4:$K$15)+SUMPRODUCT(('Jug Recipes'!$L$4:$L$15="Watermelon (fresh, blended)")*'Jug Recipes'!$M$4:$M$15)+SUMPRODUCT(('Jug Recipes'!$N$4:$N$15="Watermelon (fresh, blended)")*'Jug Recipes'!$O$4:$O$15)</f>
        <v/>
      </c>
      <c r="C18" s="170">
        <f>B18*(1+Assumptions!$B$5)</f>
        <v/>
      </c>
      <c r="D18" s="170">
        <f>CEILING(C18/Assumptions!$B$76,1)</f>
        <v/>
      </c>
      <c r="E18" s="170">
        <f>Assumptions!$B$77</f>
        <v/>
      </c>
      <c r="F18" s="170">
        <f>D18*E18</f>
        <v/>
      </c>
      <c r="G18" s="170" t="inlineStr">
        <is>
          <t>Mon fresca — blend &amp; strain</t>
        </is>
      </c>
    </row>
    <row r="19" ht="15" customHeight="1" s="171">
      <c r="A19" s="170" t="inlineStr">
        <is>
          <t>Agave syrup (bottles)</t>
        </is>
      </c>
      <c r="B19" s="170">
        <f>SUMPRODUCT(('Jug Recipes'!$F$4:$F$15="Agave syrup")*'Jug Recipes'!$G$4:$G$15)+SUMPRODUCT(('Jug Recipes'!$H$4:$H$15="Agave syrup")*'Jug Recipes'!$I$4:$I$15)+SUMPRODUCT(('Jug Recipes'!$J$4:$J$15="Agave syrup")*'Jug Recipes'!$K$4:$K$15)+SUMPRODUCT(('Jug Recipes'!$L$4:$L$15="Agave syrup")*'Jug Recipes'!$M$4:$M$15)+SUMPRODUCT(('Jug Recipes'!$N$4:$N$15="Agave syrup")*'Jug Recipes'!$O$4:$O$15)</f>
        <v/>
      </c>
      <c r="C19" s="170">
        <f>B19*(1+Assumptions!$B$5)</f>
        <v/>
      </c>
      <c r="D19" s="170">
        <f>CEILING(C19/Assumptions!$B$132,1)</f>
        <v/>
      </c>
      <c r="E19" s="170">
        <f>Assumptions!$B$133</f>
        <v/>
      </c>
      <c r="F19" s="170">
        <f>D19*E19</f>
        <v/>
      </c>
      <c r="G19" s="170" t="inlineStr">
        <is>
          <t>Mon fresca + Wed Red Flag</t>
        </is>
      </c>
    </row>
    <row r="20" ht="15" customHeight="1" s="171">
      <c r="A20" s="170" t="inlineStr">
        <is>
          <t>TAB TOTAL (rows above + below)</t>
        </is>
      </c>
      <c r="F20" s="170">
        <f>F18+F19+SUM(F23:F32)</f>
        <v/>
      </c>
    </row>
    <row r="21" ht="15" customHeight="1" s="171">
      <c r="A21" s="170" t="inlineStr">
        <is>
          <t>Jug-format servings (for total-servings calc)</t>
        </is>
      </c>
      <c r="B21" s="170">
        <f>SUM(E4:E15)</f>
        <v/>
      </c>
    </row>
    <row r="22" ht="15" customHeight="1" s="171">
      <c r="A22" s="170" t="inlineStr">
        <is>
          <t>New special ingredients (Sun Cherry Bomb / Thu sunrise / Sat + Sun peach tea):</t>
        </is>
      </c>
    </row>
    <row r="23" ht="15" customHeight="1" s="171">
      <c r="A23" s="170" t="inlineStr">
        <is>
          <t>Orange juice (64oz cartons)</t>
        </is>
      </c>
      <c r="B23" s="170">
        <f>SUMPRODUCT(('Jug Recipes'!$F$4:$F$15="Orange juice")*'Jug Recipes'!$G$4:$G$15)+SUMPRODUCT(('Jug Recipes'!$H$4:$H$15="Orange juice")*'Jug Recipes'!$I$4:$I$15)+SUMPRODUCT(('Jug Recipes'!$J$4:$J$15="Orange juice")*'Jug Recipes'!$K$4:$K$15)+SUMPRODUCT(('Jug Recipes'!$L$4:$L$15="Orange juice")*'Jug Recipes'!$M$4:$M$15)+SUMPRODUCT(('Jug Recipes'!$N$4:$N$15="Orange juice")*'Jug Recipes'!$O$4:$O$15)</f>
        <v/>
      </c>
      <c r="C23" s="170">
        <f>B23*(1+Assumptions!$B$5)</f>
        <v/>
      </c>
      <c r="D23" s="170">
        <f>CEILING(C23/Assumptions!$B$69,1)</f>
        <v/>
      </c>
      <c r="E23" s="170">
        <f>Assumptions!$B$70</f>
        <v/>
      </c>
      <c r="F23" s="170">
        <f>D23*E23</f>
        <v/>
      </c>
      <c r="G23" s="170" t="inlineStr">
        <is>
          <t>Thu sunrise + Sat fresca</t>
        </is>
      </c>
    </row>
    <row r="24" ht="15" customHeight="1" s="171">
      <c r="A24" s="170" t="inlineStr">
        <is>
          <t>Pineapple juice (24 x 8 oz cans)</t>
        </is>
      </c>
      <c r="B24" s="170">
        <f>SUMPRODUCT(('Jug Recipes'!$F$4:$F$15="Pineapple juice")*'Jug Recipes'!$G$4:$G$15)+SUMPRODUCT(('Jug Recipes'!$H$4:$H$15="Pineapple juice")*'Jug Recipes'!$I$4:$I$15)+SUMPRODUCT(('Jug Recipes'!$J$4:$J$15="Pineapple juice")*'Jug Recipes'!$K$4:$K$15)+SUMPRODUCT(('Jug Recipes'!$L$4:$L$15="Pineapple juice")*'Jug Recipes'!$M$4:$M$15)+SUMPRODUCT(('Jug Recipes'!$N$4:$N$15="Pineapple juice")*'Jug Recipes'!$O$4:$O$15)</f>
        <v/>
      </c>
      <c r="C24" s="170">
        <f>B24*(1+Assumptions!$B$5)</f>
        <v/>
      </c>
      <c r="D24" s="170">
        <f>CEILING(C24/Assumptions!$B$71,1)</f>
        <v/>
      </c>
      <c r="E24" s="170">
        <f>Assumptions!$B$72</f>
        <v/>
      </c>
      <c r="F24" s="170">
        <f>D24*E24</f>
        <v/>
      </c>
      <c r="G24" s="170" t="inlineStr">
        <is>
          <t>Thu sunrise</t>
        </is>
      </c>
    </row>
    <row r="25" ht="15" customHeight="1" s="171">
      <c r="A25" s="170" t="inlineStr">
        <is>
          <t>Grenadine (bottles) — RETIRED 18 Aug 2026, replaced by Fee Brothers Cherry Bitters (Purchase List)</t>
        </is>
      </c>
      <c r="B25" s="170">
        <f>SUMPRODUCT(('Jug Recipes'!$F$4:$F$15="Grenadine")*'Jug Recipes'!$G$4:$G$15)+SUMPRODUCT(('Jug Recipes'!$H$4:$H$15="Grenadine")*'Jug Recipes'!$I$4:$I$15)+SUMPRODUCT(('Jug Recipes'!$J$4:$J$15="Grenadine")*'Jug Recipes'!$K$4:$K$15)+SUMPRODUCT(('Jug Recipes'!$L$4:$L$15="Grenadine")*'Jug Recipes'!$M$4:$M$15)+SUMPRODUCT(('Jug Recipes'!$N$4:$N$15="Grenadine")*'Jug Recipes'!$O$4:$O$15)</f>
        <v/>
      </c>
      <c r="C25" s="170">
        <f>B25*(1+Assumptions!$B$5)</f>
        <v/>
      </c>
      <c r="D25" s="170">
        <f>CEILING(C25/Assumptions!$B$73,1)</f>
        <v/>
      </c>
      <c r="E25" s="170">
        <f>Assumptions!$B$74</f>
        <v/>
      </c>
      <c r="F25" s="170">
        <f>D25*E25</f>
        <v/>
      </c>
      <c r="G25" s="170" t="inlineStr">
        <is>
          <t>RETIRED. Reads $0 on purpose — no ingredient is named "Grenadine" in the recipe grid any more, so the SUMPRODUCT above naturally zeroes. The Thursday jug's garnish is now Fee Brothers Cherry Bitters, bought as a flat bottle on Purchase List (was row 51, the old Grenadine line).</t>
        </is>
      </c>
    </row>
    <row r="26" ht="15" customHeight="1" s="171">
      <c r="A26" s="170" t="inlineStr">
        <is>
          <t>Blue spirulina (jar)</t>
        </is>
      </c>
      <c r="D26" s="170" t="n">
        <v>1</v>
      </c>
      <c r="E26" s="170">
        <f>Assumptions!$B$75</f>
        <v/>
      </c>
      <c r="F26" s="170">
        <f>D26*E26</f>
        <v/>
      </c>
      <c r="G26" s="170" t="inlineStr">
        <is>
          <t>Grams not oz. NO LONGER A JUG INGREDIENT — Blue Screen of Death is retired and nothing in the jug block uses it. The jar is kept for exactly one job: tinting the Catboy Snot aloe bottle on Saturday (‘Dirty Soda - Built Drinks’ row 15). A pinch does it, so one 30 g jar is far more than enough, and there is no smaller sensible buy. Set the qty in column D to 0 if you drop the green tint as well.</t>
        </is>
      </c>
    </row>
    <row r="27" ht="15" customHeight="1" s="171">
      <c r="A27" s="170" t="inlineStr">
        <is>
          <t>Lime juice (48oz bottles)</t>
        </is>
      </c>
      <c r="B27" s="170">
        <f>SUMPRODUCT(('Jug Recipes'!$F$4:$F$15="Lime juice (bottled)")*'Jug Recipes'!$G$4:$G$15)+SUMPRODUCT(('Jug Recipes'!$H$4:$H$15="Lime juice (bottled)")*'Jug Recipes'!$I$4:$I$15)+SUMPRODUCT(('Jug Recipes'!$J$4:$J$15="Lime juice (bottled)")*'Jug Recipes'!$K$4:$K$15)+SUMPRODUCT(('Jug Recipes'!$L$4:$L$15="Lime juice (bottled)")*'Jug Recipes'!$M$4:$M$15)+SUMPRODUCT(('Jug Recipes'!$N$4:$N$15="Lime juice (bottled)")*'Jug Recipes'!$O$4:$O$15)+SUMPRODUCT(('Dirty Soda - Built Drinks'!$H$3:$H$23="Lime juice (bottled)")*'Dirty Soda - Built Drinks'!$I$3:$I$23*'Dirty Soda - Built Drinks'!$B$3:$B$23)</f>
        <v/>
      </c>
      <c r="C27" s="170">
        <f>B27*(1+Assumptions!$B$5)</f>
        <v/>
      </c>
      <c r="D27" s="170">
        <f>CEILING(C27/Assumptions!$B$78,1)</f>
        <v/>
      </c>
      <c r="E27" s="170">
        <f>Assumptions!$B$79</f>
        <v/>
      </c>
      <c r="F27" s="170">
        <f>D27*E27</f>
        <v/>
      </c>
      <c r="G27" s="170" t="inlineStr">
        <is>
          <t>Wed Cherry Limeade</t>
        </is>
      </c>
    </row>
    <row r="28" ht="15" customHeight="1" s="171">
      <c r="A28" s="170" t="inlineStr">
        <is>
          <t>Maraschino cherries (jars)</t>
        </is>
      </c>
      <c r="D28" s="170" t="n">
        <v>2</v>
      </c>
      <c r="E28" s="170">
        <f>Assumptions!$B$80</f>
        <v/>
      </c>
      <c r="F28" s="170">
        <f>D28*E28</f>
        <v/>
      </c>
      <c r="G28" s="170" t="inlineStr">
        <is>
          <t>One cherry + juice splash per Wed cup (~35-40 cherries)</t>
        </is>
      </c>
    </row>
    <row r="29" ht="15" customHeight="1" s="171">
      <c r="A29" s="170" t="inlineStr">
        <is>
          <t>Dried hibiscus (lb bags)</t>
        </is>
      </c>
      <c r="B29" s="170">
        <f>SUMPRODUCT(('Jug Recipes'!$F$4:$F$15="Dried hibiscus")*'Jug Recipes'!$G$4:$G$15)+SUMPRODUCT(('Jug Recipes'!$H$4:$H$15="Dried hibiscus")*'Jug Recipes'!$I$4:$I$15)+SUMPRODUCT(('Jug Recipes'!$J$4:$J$15="Dried hibiscus")*'Jug Recipes'!$K$4:$K$15)+SUMPRODUCT(('Jug Recipes'!$L$4:$L$15="Dried hibiscus")*'Jug Recipes'!$M$4:$M$15)+SUMPRODUCT(('Jug Recipes'!$N$4:$N$15="Dried hibiscus")*'Jug Recipes'!$O$4:$O$15)+'Dirty Soda - Built Drinks'!$B$22*Assumptions!$B$223</f>
        <v/>
      </c>
      <c r="C29" s="170">
        <f>B29*(1+Assumptions!$B$5)</f>
        <v/>
      </c>
      <c r="D29" s="170">
        <f>CEILING(C29/Assumptions!$B$125,1)</f>
        <v/>
      </c>
      <c r="E29" s="170">
        <f>Assumptions!$B$126</f>
        <v/>
      </c>
      <c r="F29" s="170">
        <f>D29*E29</f>
        <v/>
      </c>
      <c r="G29" s="170" t="inlineStr">
        <is>
          <t>Wed Red Flag — packs tiny and shelf-stable. LOCALHOST DROPPED HIBISCUS 11 Aug 2026 and became a standard margarita, so the Red Flag jug is the only committed draw again (~5.6 oz of the 16 oz bag). *** THE ~10.4 oz OF SPARE FLOWER IS SPOKEN FOR BY THE DAILY TEA STANDING TEA (Assumptions B252-B255) — do not reallocate it without checking there. ***</t>
        </is>
      </c>
    </row>
    <row r="30" ht="15" customHeight="1" s="171">
      <c r="A30" s="170" t="inlineStr">
        <is>
          <t>Lapsang souchong (loose leaf)</t>
        </is>
      </c>
      <c r="B30" s="170">
        <f>SUMPRODUCT(('Jug Recipes'!$F$4:$F$15="Lapsang souchong")*'Jug Recipes'!$G$4:$G$15)+SUMPRODUCT(('Jug Recipes'!$H$4:$H$15="Lapsang souchong")*'Jug Recipes'!$I$4:$I$15)+SUMPRODUCT(('Jug Recipes'!$J$4:$J$15="Lapsang souchong")*'Jug Recipes'!$K$4:$K$15)+SUMPRODUCT(('Jug Recipes'!$L$4:$L$15="Lapsang souchong")*'Jug Recipes'!$M$4:$M$15)+SUMPRODUCT(('Jug Recipes'!$N$4:$N$15="Lapsang souchong")*'Jug Recipes'!$O$4:$O$15)</f>
        <v/>
      </c>
      <c r="C30" s="170">
        <f>B30*(1+Assumptions!$B$5)</f>
        <v/>
      </c>
      <c r="D30" s="170">
        <f>CEILING(C30/Assumptions!$B$143,1)</f>
        <v/>
      </c>
      <c r="E30" s="170">
        <f>Assumptions!$B$144</f>
        <v/>
      </c>
      <c r="F30" s="170">
        <f>D30*E30</f>
        <v/>
      </c>
      <c r="G30" s="170" t="inlineStr">
        <is>
          <t>Tue Smoke Test — packs to nothing *** PART OF THIS IS SPOKEN FOR BY THE DAILY TEA STANDING TEA (Assumptions B252-B255) — do not reallocate the spare without checking there. ***</t>
        </is>
      </c>
    </row>
    <row r="31" ht="15" customHeight="1" s="171">
      <c r="A31" s="170" t="inlineStr">
        <is>
          <t>Green tea teabags (Sun closing jug)</t>
        </is>
      </c>
      <c r="B31" s="170">
        <f>SUMPRODUCT(('Jug Recipes'!$F$4:$F$15="Green tea (cold-steeped)")*'Jug Recipes'!$G$4:$G$15)+SUMPRODUCT(('Jug Recipes'!$H$4:$H$15="Green tea (cold-steeped)")*'Jug Recipes'!$I$4:$I$15)+SUMPRODUCT(('Jug Recipes'!$J$4:$J$15="Green tea (cold-steeped)")*'Jug Recipes'!$K$4:$K$15)+SUMPRODUCT(('Jug Recipes'!$L$4:$L$15="Green tea (cold-steeped)")*'Jug Recipes'!$M$4:$M$15)+SUMPRODUCT(('Jug Recipes'!$N$4:$N$15="Green tea (cold-steeped)")*'Jug Recipes'!$O$4:$O$15)</f>
        <v/>
      </c>
      <c r="C31" s="170">
        <f>B31*(1+Assumptions!$B$5)</f>
        <v/>
      </c>
      <c r="D31" s="170">
        <f>CEILING(C31/128*Assumptions!$B$178,1)</f>
        <v/>
      </c>
      <c r="E31" s="170" t="n">
        <v>0</v>
      </c>
      <c r="F31" s="170" t="n">
        <v>0</v>
      </c>
      <c r="G31" s="170" t="inlineStr">
        <is>
          <t>teabags — DRAWN FROM THE CAMP BOX, not a separate buy. TWO jugs now steep green tea, Saturday and the closing Sunday, so this roughly doubled — and it still barely dents the box. The green tea box on Purchase List row 62 holds Assumptions B179 bags; the camp iced tea and both jugs together use about a quarter of them. $0 here ON PURPOSE: costing it again would double-buy a box that goes home mostly full either way. *** PART OF THIS IS SPOKEN FOR BY THE DAILY TEA STANDING TEA (Assumptions B252-B255) — do not reallocate the spare without checking there. ***</t>
        </is>
      </c>
    </row>
    <row r="32" ht="15" customHeight="1" s="171">
      <c r="A32" s="170" t="inlineStr">
        <is>
          <t>Lemon juice (32oz bottles)</t>
        </is>
      </c>
      <c r="B32" s="170">
        <f>SUMPRODUCT(('Jug Recipes'!$F$4:$F$15="Lemon juice (bottled)")*'Jug Recipes'!$G$4:$G$15)+SUMPRODUCT(('Jug Recipes'!$H$4:$H$15="Lemon juice (bottled)")*'Jug Recipes'!$I$4:$I$15)+SUMPRODUCT(('Jug Recipes'!$J$4:$J$15="Lemon juice (bottled)")*'Jug Recipes'!$K$4:$K$15)+SUMPRODUCT(('Jug Recipes'!$L$4:$L$15="Lemon juice (bottled)")*'Jug Recipes'!$M$4:$M$15)+SUMPRODUCT(('Jug Recipes'!$N$4:$N$15="Lemon juice (bottled)")*'Jug Recipes'!$O$4:$O$15)</f>
        <v/>
      </c>
      <c r="C32" s="170">
        <f>B32*(1+Assumptions!$B$5)</f>
        <v/>
      </c>
      <c r="D32" s="170">
        <f>CEILING(C32/Assumptions!$B$227,1)</f>
        <v/>
      </c>
      <c r="E32" s="197">
        <f>Assumptions!$B$228</f>
        <v/>
      </c>
      <c r="F32" s="170">
        <f>D32*E32</f>
        <v/>
      </c>
      <c r="G32" s="170" t="inlineStr">
        <is>
          <t>Sat Sleep Mode + Sun Graceful Shutdown — 16.5 oz each. Mirrors the bottled lime on row 27: batch jugs take bottled, per-drink squeezes take fresh.</t>
        </is>
      </c>
    </row>
    <row r="1048576" ht="12.75" customHeight="1" s="171"/>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81ACA6"/>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12" customWidth="1" style="170" min="1" max="1"/>
    <col width="26" customWidth="1" style="170" min="2" max="3"/>
    <col width="30" customWidth="1" style="170" min="4" max="4"/>
    <col width="64" customWidth="1" style="170" min="5" max="5"/>
    <col width="26" customWidth="1" style="170" min="6" max="6"/>
    <col width="44" customWidth="1" style="170" min="7" max="7"/>
  </cols>
  <sheetData>
    <row r="1" ht="17.25" customHeight="1" s="171">
      <c r="A1" s="172" t="inlineStr">
        <is>
          <t>Jug Build Steps — how to actually make each night</t>
        </is>
      </c>
      <c r="B1" s="173" t="n"/>
      <c r="C1" s="173" t="n"/>
      <c r="D1" s="173" t="n"/>
      <c r="E1" s="173" t="n"/>
      <c r="F1" s="173" t="n"/>
      <c r="G1" s="173" t="n"/>
    </row>
    <row r="3" ht="51.75" customHeight="1" s="171">
      <c r="A3" s="174" t="inlineStr">
        <is>
          <t>The procedure card. 'Jug Recipes' says WHAT goes in; this says HOW and IN WHAT ORDER. Quantities in column F are live — they follow the # jugs on Jug Recipes, so they stay right if a night gets scaled up. Written for someone who has never made these, reading in the dark. FOR THE DESIGNER: this is one card per night, plus the standing block at the bottom which goes on the permanent card alongside the Main Instructions from 'Daily Schedule'.</t>
        </is>
      </c>
    </row>
    <row r="5" ht="15" customHeight="1" s="171">
      <c r="A5" s="195" t="inlineStr">
        <is>
          <t>Day</t>
        </is>
      </c>
      <c r="B5" s="195" t="inlineStr">
        <is>
          <t>Drink</t>
        </is>
      </c>
      <c r="C5" s="195" t="inlineStr">
        <is>
          <t>Start by / time needed</t>
        </is>
      </c>
      <c r="D5" s="195" t="inlineStr">
        <is>
          <t>NIGHT BEFORE</t>
        </is>
      </c>
      <c r="E5" s="195" t="inlineStr">
        <is>
          <t>BUILD — in this order</t>
        </is>
      </c>
      <c r="F5" s="195" t="inlineStr">
        <is>
          <t>Batch quantities (live)</t>
        </is>
      </c>
      <c r="G5" s="195" t="inlineStr">
        <is>
          <t>AT SERVICE</t>
        </is>
      </c>
    </row>
    <row r="6" ht="150" customHeight="1" s="171">
      <c r="A6" s="192">
        <f>'Jug Recipes'!A4</f>
        <v/>
      </c>
      <c r="B6" s="192">
        <f>'Jug Recipes'!C4</f>
        <v/>
      </c>
      <c r="C6" s="174" t="inlineStr">
        <is>
          <t>45 min before the party. Shortest build of the week.</t>
        </is>
      </c>
      <c r="D6" s="174" t="inlineStr">
        <is>
          <t>Nothing.</t>
        </is>
      </c>
      <c r="E6" s="174" t="inlineStr">
        <is>
          <t>BUILD IN HALVES — this pours in a 1-2 hour window.
1. Half the cherry syrup + half the lime into the dispenser.
2. Cold water to about half full.
3. Half the Sprite and soda water, poured DOWN THE INSIDE WALL. One gentle stir — do not whisk, you will kill the fizz.
4. Ice to fill. ~0.75 tsp salt.
5. Taste.
6. Build the second half the same way when the first is a third down. Do NOT pre-mix both.</t>
        </is>
      </c>
      <c r="F6" s="174">
        <f>IF('Jug Recipes'!G4&gt;0,'Jug Recipes'!F4&amp;" "&amp;TEXT('Jug Recipes'!G4,"0.#")&amp;" oz"&amp;CHAR(10),"")&amp;IF('Jug Recipes'!I4&gt;0,'Jug Recipes'!H4&amp;" "&amp;TEXT('Jug Recipes'!I4,"0.#")&amp;" oz"&amp;CHAR(10),"")&amp;IF('Jug Recipes'!K4&gt;0,'Jug Recipes'!J4&amp;" "&amp;TEXT('Jug Recipes'!K4,"0.#")&amp;" oz"&amp;CHAR(10),"")&amp;IF('Jug Recipes'!M4&gt;0,'Jug Recipes'!L4&amp;" "&amp;TEXT('Jug Recipes'!M4,"0.#")&amp;" oz"&amp;CHAR(10),"")&amp;IF('Jug Recipes'!O4&gt;0,'Jug Recipes'!N4&amp;" "&amp;TEXT('Jug Recipes'!O4,"0.#")&amp;" oz"&amp;CHAR(10),"")</f>
        <v/>
      </c>
      <c r="G6" s="174" t="inlineStr">
        <is>
          <t>Pour and go. Maraschino cherry on top if supplies allow. Flatness is not a problem here — it is gone inside two hours.</t>
        </is>
      </c>
    </row>
    <row r="7" ht="150" customHeight="1" s="171">
      <c r="A7" s="192">
        <f>'Jug Recipes'!A5</f>
        <v/>
      </c>
      <c r="B7" s="192">
        <f>'Jug Recipes'!C5</f>
        <v/>
      </c>
      <c r="C7" s="174" t="inlineStr">
        <is>
          <t>90 minutes. THE LONGEST BUILD OF THE WEEK — start early.</t>
        </is>
      </c>
      <c r="D7" s="174" t="inlineStr">
        <is>
          <t>Nothing. Melons travel fine unrefrigerated.</t>
        </is>
      </c>
      <c r="E7" s="174" t="inlineStr">
        <is>
          <t>1. Cut 2 melons into chunks. Reckon ~90 oz of juice per melon.
2. Blend in batches with a handful of mint. The 12 V blender is small — plan on 4-6 rounds.
3. Strain rough through the fine mesh into a gallon container. Some pulp is good; you are not making juice.
4. Strained juice + agave + lime into the dispenser.
5. STILL water to fill. No tonic, no soda.
6. 1.5 tsp salt. Stir.</t>
        </is>
      </c>
      <c r="F7" s="174">
        <f>IF('Jug Recipes'!G5&gt;0,'Jug Recipes'!F5&amp;" "&amp;TEXT('Jug Recipes'!G5,"0.#")&amp;" oz"&amp;CHAR(10),"")&amp;IF('Jug Recipes'!I5&gt;0,'Jug Recipes'!H5&amp;" "&amp;TEXT('Jug Recipes'!I5,"0.#")&amp;" oz"&amp;CHAR(10),"")&amp;IF('Jug Recipes'!K5&gt;0,'Jug Recipes'!J5&amp;" "&amp;TEXT('Jug Recipes'!K5,"0.#")&amp;" oz"&amp;CHAR(10),"")&amp;IF('Jug Recipes'!M5&gt;0,'Jug Recipes'!L5&amp;" "&amp;TEXT('Jug Recipes'!M5,"0.#")&amp;" oz"&amp;CHAR(10),"")&amp;IF('Jug Recipes'!O5&gt;0,'Jug Recipes'!N5&amp;" "&amp;TEXT('Jug Recipes'!O5,"0.#")&amp;" oz"&amp;CHAR(10),"")</f>
        <v/>
      </c>
      <c r="G7" s="174" t="inlineStr">
        <is>
          <t>Stir before each pour — pulp settles. Soda-water splash per cup if someone wants fizz. Blanco Tequila makes it a watermelon margarita.</t>
        </is>
      </c>
    </row>
    <row r="8" ht="150" customHeight="1" s="171">
      <c r="A8" s="192">
        <f>'Jug Recipes'!A6</f>
        <v/>
      </c>
      <c r="B8" s="192">
        <f>'Jug Recipes'!C6</f>
        <v/>
      </c>
      <c r="C8" s="174" t="inlineStr">
        <is>
          <t>30 min, plus an overnight steep started Monday.</t>
        </is>
      </c>
      <c r="D8" s="174" t="inlineStr">
        <is>
          <t>MONDAY NIGHT: cold-steep ~2 oz of lapsang leaf in ~1.3 gal of cold water. Seal it.</t>
        </is>
      </c>
      <c r="E8" s="174" t="inlineStr">
        <is>
          <t>1. STRAIN THE LEAVES OUT FIRST. Left in, it keeps extracting and goes from campfire to ashtray.
2. TASTE THE TEA ON ITS OWN. This is the decision point — if it is acrid, cut it with water BEFORE it meets anything else.
3. Strong tea + lemonade + lime into the dispenser.
4. Water/ice to fill. 1.5 tsp salt.
5. Taste again.</t>
        </is>
      </c>
      <c r="F8" s="174">
        <f>IF('Jug Recipes'!G6&gt;0,'Jug Recipes'!F6&amp;" "&amp;TEXT('Jug Recipes'!G6,"0.#")&amp;" oz"&amp;CHAR(10),"")&amp;IF('Jug Recipes'!I6&gt;0,'Jug Recipes'!H6&amp;" "&amp;TEXT('Jug Recipes'!I6,"0.#")&amp;" oz"&amp;CHAR(10),"")&amp;IF('Jug Recipes'!K6&gt;0,'Jug Recipes'!J6&amp;" "&amp;TEXT('Jug Recipes'!K6,"0.#")&amp;" oz"&amp;CHAR(10),"")&amp;IF('Jug Recipes'!M6&gt;0,'Jug Recipes'!L6&amp;" "&amp;TEXT('Jug Recipes'!M6,"0.#")&amp;" oz"&amp;CHAR(10),"")&amp;IF('Jug Recipes'!O6&gt;0,'Jug Recipes'!N6&amp;" "&amp;TEXT('Jug Recipes'!O6,"0.#")&amp;" oz"&amp;CHAR(10),"")</f>
        <v/>
      </c>
      <c r="G8" s="174" t="inlineStr">
        <is>
          <t>Naturally still, so nothing is going flat. No rush on this one.</t>
        </is>
      </c>
    </row>
    <row r="9" ht="150" customHeight="1" s="171">
      <c r="A9" s="192">
        <f>'Jug Recipes'!A7</f>
        <v/>
      </c>
      <c r="B9" s="192">
        <f>'Jug Recipes'!C7</f>
        <v/>
      </c>
      <c r="C9" s="174" t="inlineStr">
        <is>
          <t>2 hours. Still the biggest build of the week.</t>
        </is>
      </c>
      <c r="D9" s="174" t="inlineStr">
        <is>
          <t>TUESDAY NIGHT: cold-steep the dried hibiscus for TWO jugs. Steeping hot on the day works too, but it then has to cool.</t>
        </is>
      </c>
      <c r="E9" s="174" t="inlineStr">
        <is>
          <t>1. Steep, then STRAIN THOROUGHLY. Flowers left in turn it bitter and astringent.
2. Two jugs, two dispensers — it fits, no juggling.
3. Per dispenser: hibiscus tea + agave + lime + cold water to fill.
4. 1.5 tsp salt per jug. Taste — it should read properly sweet, not just tart.
5. IF THE PARTY OUTRUNS TWO JUGS: you have flowers for plenty more. Steep a third batch as CONCENTRATE and hold it in a 1-gallon container — concentrate takes about a third the space of finished drink — then cut it into a dispenser as one empties.</t>
        </is>
      </c>
      <c r="F9" s="174">
        <f>IF('Jug Recipes'!G7&gt;0,'Jug Recipes'!F7&amp;" "&amp;TEXT('Jug Recipes'!G7,"0.#")&amp;" oz"&amp;CHAR(10),"")&amp;IF('Jug Recipes'!I7&gt;0,'Jug Recipes'!H7&amp;" "&amp;TEXT('Jug Recipes'!I7,"0.#")&amp;" oz"&amp;CHAR(10),"")&amp;IF('Jug Recipes'!K7&gt;0,'Jug Recipes'!J7&amp;" "&amp;TEXT('Jug Recipes'!K7,"0.#")&amp;" oz"&amp;CHAR(10),"")&amp;IF('Jug Recipes'!M7&gt;0,'Jug Recipes'!L7&amp;" "&amp;TEXT('Jug Recipes'!M7,"0.#")&amp;" oz"&amp;CHAR(10),"")&amp;IF('Jug Recipes'!O7&gt;0,'Jug Recipes'!N7&amp;" "&amp;TEXT('Jug Recipes'!O7,"0.#")&amp;" oz"&amp;CHAR(10),"")</f>
        <v/>
      </c>
      <c r="G9" s="174" t="inlineStr">
        <is>
          <t>WARN PEOPLE IT STAINS — cups, hands, clothing, especially anything white. Naturally still, so there is no hurry once it is built.</t>
        </is>
      </c>
    </row>
    <row r="10" ht="150" customHeight="1" s="171">
      <c r="A10" s="192">
        <f>'Jug Recipes'!A8</f>
        <v/>
      </c>
      <c r="B10" s="192">
        <f>'Jug Recipes'!C8</f>
        <v/>
      </c>
      <c r="C10" s="174" t="inlineStr">
        <is>
          <t>30 min.</t>
        </is>
      </c>
      <c r="D10" s="174" t="inlineStr">
        <is>
          <t>Nothing.</t>
        </is>
      </c>
      <c r="E10" s="174" t="inlineStr">
        <is>
          <t>1. OJ + pineapple + passion fruit purée + lime into the dispenser.
2. Water/ice to fill. 1.5 tsp salt.
3. Stir well — the purée sinks.
4. THE BITTERS DO NOT GO IN THE JUG. Keep the Fee Brothers Cherry Bitters bottle at the bar.</t>
        </is>
      </c>
      <c r="F10" s="174">
        <f>IF('Jug Recipes'!G8&gt;0,'Jug Recipes'!F8&amp;" "&amp;TEXT('Jug Recipes'!G8,"0.#")&amp;" oz"&amp;CHAR(10),"")&amp;IF('Jug Recipes'!I8&gt;0,'Jug Recipes'!H8&amp;" "&amp;TEXT('Jug Recipes'!I8,"0.#")&amp;" oz"&amp;CHAR(10),"")&amp;IF('Jug Recipes'!K8&gt;0,'Jug Recipes'!J8&amp;" "&amp;TEXT('Jug Recipes'!K8,"0.#")&amp;" oz"&amp;CHAR(10),"")&amp;IF('Jug Recipes'!M8&gt;0,'Jug Recipes'!L8&amp;" "&amp;TEXT('Jug Recipes'!M8,"0.#")&amp;" oz"&amp;CHAR(10),"")&amp;IF('Jug Recipes'!O8&gt;0,'Jug Recipes'!N8&amp;" "&amp;TEXT('Jug Recipes'!O8,"0.#")&amp;" oz"&amp;CHAR(10),"")</f>
        <v/>
      </c>
      <c r="G10" s="174" t="inlineStr">
        <is>
          <t>Pour the cup, THEN add 2-3 dashes of Fee Brothers Cherry Bitters on top. Swapped off grenadine 18 Aug 2026 — expect a cherry note and a light color tint, not the old heavy syrup-sink gradient. Orange slice or cherry if supplies allow.</t>
        </is>
      </c>
    </row>
    <row r="11" ht="150" customHeight="1" s="171">
      <c r="A11" s="192">
        <f>'Jug Recipes'!A9</f>
        <v/>
      </c>
      <c r="B11" s="192">
        <f>'Jug Recipes'!C9</f>
        <v/>
      </c>
      <c r="C11" s="174" t="inlineStr">
        <is>
          <t>30 min for the jug. The rest of tonight belongs to Saturday.</t>
        </is>
      </c>
      <c r="D11" s="174" t="inlineStr">
        <is>
          <t>Nothing for this drink — but TONIGHT IS THE BIG SATURDAY PREP. See the Daily Schedule.</t>
        </is>
      </c>
      <c r="E11" s="174" t="inlineStr">
        <is>
          <t>1. Whisk the coconut cream smooth in a little warm water FIRST. Straight from the bottle it clumps and you will never get it out.
2. Rice Dream Horchata (shake well, it settles) + whisked coconut cream + vanilla syrup — no dilution needed, it's ready-to-drink.
3. Water/ice to fill. 1.5 tsp salt.
4. WHISK, do not just stir.</t>
        </is>
      </c>
      <c r="F11" s="174">
        <f>IF('Jug Recipes'!G9&gt;0,'Jug Recipes'!F9&amp;" "&amp;TEXT('Jug Recipes'!G9,"0.#")&amp;" oz"&amp;CHAR(10),"")&amp;IF('Jug Recipes'!I9&gt;0,'Jug Recipes'!H9&amp;" "&amp;TEXT('Jug Recipes'!I9,"0.#")&amp;" oz"&amp;CHAR(10),"")&amp;IF('Jug Recipes'!K9&gt;0,'Jug Recipes'!J9&amp;" "&amp;TEXT('Jug Recipes'!K9,"0.#")&amp;" oz"&amp;CHAR(10),"")&amp;IF('Jug Recipes'!M9&gt;0,'Jug Recipes'!L9&amp;" "&amp;TEXT('Jug Recipes'!M9,"0.#")&amp;" oz"&amp;CHAR(10),"")&amp;IF('Jug Recipes'!O9&gt;0,'Jug Recipes'!N9&amp;" "&amp;TEXT('Jug Recipes'!O9,"0.#")&amp;" oz"&amp;CHAR(10),"")</f>
        <v/>
      </c>
      <c r="G11" s="174" t="inlineStr">
        <is>
          <t>STIR BEFORE EVERY POUR — rice milk settles hard and fast. Cinnamon dust on top. Spiced Rum float on request.</t>
        </is>
      </c>
    </row>
    <row r="12" ht="150" customHeight="1" s="171">
      <c r="A12" s="192">
        <f>'Jug Recipes'!A10</f>
        <v/>
      </c>
      <c r="B12" s="192">
        <f>'Jug Recipes'!C10</f>
        <v/>
      </c>
      <c r="C12" s="174" t="inlineStr">
        <is>
          <t>20 min on the day, plus an overnight cold steep started Friday. Deliberately the easiest build of the week — Saturday needs a jug that looks after itself.</t>
        </is>
      </c>
      <c r="D12" s="174" t="inlineStr">
        <is>
          <t>FRIDAY NIGHT: cold-steep ~10 green teabags in ~2 gal of cold water and seal it. This is a SECOND, SEPARATE steep from Sunday’s — same recipe, its own container, its own label, or you will pour tomorrow’s jug into today’s. Cold-steeping cannot go bitter the way a hot steep can, so it survives being forgotten in the middle of the Saturday prep.</t>
        </is>
      </c>
      <c r="E12" s="198" t="inlineStr">
        <is>
          <t>1. Pull the teabags. Do not squeeze them.
2. Tea into the dispenser, then peach syrup, then lemon, then agave.
3. Taste BEFORE the ice. Peach syrup varies; this should read as tea with peach behind it, not peach squash.
4. Water/ice to fill. 1.5 tsp salt.
5. *** NO MOUNTAIN DEW AND NO SPIRULINA. *** That was Blue Screen of Death and it is gone. Nothing on this jug gets topped up per cup and nothing needs stirring.</t>
        </is>
      </c>
      <c r="F12" s="174">
        <f>IF('Jug Recipes'!G10&gt;0,'Jug Recipes'!F10&amp;" "&amp;TEXT('Jug Recipes'!G10,"0.#")&amp;" oz"&amp;CHAR(10),"")&amp;IF('Jug Recipes'!I10&gt;0,'Jug Recipes'!H10&amp;" "&amp;TEXT('Jug Recipes'!I10,"0.#")&amp;" oz"&amp;CHAR(10),"")&amp;IF('Jug Recipes'!K10&gt;0,'Jug Recipes'!J10&amp;" "&amp;TEXT('Jug Recipes'!K10,"0.#")&amp;" oz"&amp;CHAR(10),"")&amp;IF('Jug Recipes'!M10&gt;0,'Jug Recipes'!L10&amp;" "&amp;TEXT('Jug Recipes'!M10,"0.#")&amp;" oz"&amp;CHAR(10),"")&amp;IF('Jug Recipes'!O10&gt;0,'Jug Recipes'!N10&amp;" "&amp;TEXT('Jug Recipes'!O10,"0.#")&amp;" oz"&amp;CHAR(10),"")</f>
        <v/>
      </c>
      <c r="G12" s="174" t="inlineStr">
        <is>
          <t>Pour and go. Naturally still, so there is nothing to keep fizzy and nothing to stir — which is the entire point on the night the three reveals land. Soda-water splash for anyone who wants it longer or less sweet. Same drink as tomorrow, so anyone who liked it can have it again.</t>
        </is>
      </c>
    </row>
    <row r="13" ht="150" customHeight="1" s="171">
      <c r="A13" s="192">
        <f>'Jug Recipes'!A11</f>
        <v/>
      </c>
      <c r="B13" s="192">
        <f>'Jug Recipes'!C11</f>
        <v/>
      </c>
      <c r="C13" s="174" t="inlineStr">
        <is>
          <t>20 min on the day, plus an overnight cold steep started Saturday. Easiest build of the week — which is the point, on the day everyone is packing.</t>
        </is>
      </c>
      <c r="D13" s="174" t="inlineStr">
        <is>
          <t>SATURDAY NIGHT: cold-steep ~10 green teabags in ~2 gal of cold water and seal it. Cold-steeping cannot go bitter the way a hot steep can, so this one survives being forgotten until morning.</t>
        </is>
      </c>
      <c r="E13" s="198" t="inlineStr">
        <is>
          <t>1. Pull the teabags. Do not squeeze them.
2. Tea into the dispenser, then peach syrup, then lemon, then agave.
3. Taste BEFORE the ice. Peach syrup varies; this should read as tea with peach behind it, not peach squash.
4. Water/ice to fill. 1.5 tsp salt.</t>
        </is>
      </c>
      <c r="F13" s="174">
        <f>IF('Jug Recipes'!G11&gt;0,'Jug Recipes'!F11&amp;" "&amp;TEXT('Jug Recipes'!G11,"0.#")&amp;" oz"&amp;CHAR(10),"")&amp;IF('Jug Recipes'!I11&gt;0,'Jug Recipes'!H11&amp;" "&amp;TEXT('Jug Recipes'!I11,"0.#")&amp;" oz"&amp;CHAR(10),"")&amp;IF('Jug Recipes'!K11&gt;0,'Jug Recipes'!J11&amp;" "&amp;TEXT('Jug Recipes'!K11,"0.#")&amp;" oz"&amp;CHAR(10),"")&amp;IF('Jug Recipes'!M11&gt;0,'Jug Recipes'!L11&amp;" "&amp;TEXT('Jug Recipes'!M11,"0.#")&amp;" oz"&amp;CHAR(10),"")&amp;IF('Jug Recipes'!O11&gt;0,'Jug Recipes'!N11&amp;" "&amp;TEXT('Jug Recipes'!O11,"0.#")&amp;" oz"&amp;CHAR(10),"")</f>
        <v/>
      </c>
      <c r="G13" s="174" t="inlineStr">
        <is>
          <t>Daytime service, so it goes out warm-adjacent fast — keep the dispenser out of the sun and the ice topped up. Soda-water splash for anyone who wants it unsweetened.</t>
        </is>
      </c>
    </row>
    <row r="14" ht="15" customHeight="1" s="171">
      <c r="A14" s="175" t="n"/>
    </row>
    <row r="15" ht="15" customHeight="1" s="171">
      <c r="A15" s="175" t="inlineStr">
        <is>
          <t>EVERY JUG, EVERY TIME — the standing rules</t>
        </is>
      </c>
    </row>
    <row r="16" ht="27.75" customHeight="1" s="171">
      <c r="A16" s="174" t="inlineStr">
        <is>
          <t>Wipe the dispenser and the spigot before you start. Dust gets into everything, and the spigot is the bit everyone touches.</t>
        </is>
      </c>
    </row>
    <row r="17" ht="27.75" customHeight="1" s="171">
      <c r="A17" s="174" t="inlineStr">
        <is>
          <t>ORDER MATTERS: syrups and juices first, then water, then ICE LAST. Ice first means it melts while you are still stirring and you end up with a weak jug.</t>
        </is>
      </c>
    </row>
    <row r="18" ht="27.75" customHeight="1" s="171">
      <c r="A18" s="174" t="inlineStr">
        <is>
          <t>SALT EVERY JUG — about 1.5 tsp per 10 L. It is not optional and it is not for flavour exactly; it is what makes a batch taste finished instead of watery in the heat.</t>
        </is>
      </c>
    </row>
    <row r="19" ht="27.75" customHeight="1" s="171">
      <c r="A19" s="174" t="inlineStr">
        <is>
          <t>TASTE IT BEFORE IT GOES OUT. Every recipe here is a starting point, not a law. Fruit varies, steeps vary, and nobody will know it was wrong except the 33 people who drink it.</t>
        </is>
      </c>
    </row>
    <row r="20" ht="27.75" customHeight="1" s="171">
      <c r="A20" s="174" t="inlineStr">
        <is>
          <t>BATCH BEFORE SERVICE OPENS, never during. A jug built in a rush is a jug built wrong.</t>
        </is>
      </c>
    </row>
    <row r="21" ht="27.75" customHeight="1" s="171">
      <c r="A21" s="174" t="inlineStr">
        <is>
          <t>Label the dispenser. The special changes every night and the sign from yesterday is a lie.</t>
        </is>
      </c>
    </row>
    <row r="22" ht="27.75" customHeight="1" s="171">
      <c r="A22" s="174" t="inlineStr">
        <is>
          <t>If a jug runs dry early there is a Salted Limeade fallback on 'Jug Recipes' row 13 that needs no extra shopping.</t>
        </is>
      </c>
    </row>
  </sheetData>
  <mergeCells count="8">
    <mergeCell ref="A17:G17"/>
    <mergeCell ref="A18:G18"/>
    <mergeCell ref="A3:G3"/>
    <mergeCell ref="A21:G21"/>
    <mergeCell ref="A22:G22"/>
    <mergeCell ref="A20:G20"/>
    <mergeCell ref="A16:G16"/>
    <mergeCell ref="A19:G1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35"/>
  <sheetViews>
    <sheetView showFormulas="0" showGridLines="0" showRowColHeaders="1" showZeros="1" rightToLeft="0" tabSelected="0" showOutlineSymbols="1" defaultGridColor="1" view="normal" topLeftCell="A8" colorId="64" zoomScale="100" zoomScaleNormal="100" zoomScalePageLayoutView="100" workbookViewId="0">
      <selection pane="topLeft" activeCell="I26" activeCellId="0" sqref="I26"/>
    </sheetView>
  </sheetViews>
  <sheetFormatPr baseColWidth="8" defaultColWidth="8.4296875" defaultRowHeight="15" zeroHeight="0" outlineLevelRow="0"/>
  <cols>
    <col width="28" customWidth="1" style="170" min="1" max="1"/>
    <col width="10" customWidth="1" style="170" min="2" max="2"/>
    <col width="15" customWidth="1" style="170" min="3" max="3"/>
    <col width="24" customWidth="1" style="170" min="4" max="4"/>
    <col width="9" customWidth="1" style="170" min="5" max="5"/>
    <col width="12" customWidth="1" style="170" min="6" max="6"/>
    <col width="10" customWidth="1" style="170" min="7" max="7"/>
    <col width="12" customWidth="1" style="170" min="8" max="8"/>
    <col width="52" customWidth="1" style="170" min="9" max="9"/>
  </cols>
  <sheetData>
    <row r="1" ht="17.25" customHeight="1" s="171">
      <c r="A1" s="172" t="inlineStr">
        <is>
          <t>Camp Drinks — bulk, self-serve, not bar service</t>
        </is>
      </c>
    </row>
    <row r="3" ht="31.5" customHeight="1" s="171">
      <c r="A3" s="199" t="inlineStr">
        <is>
          <t>Big-batch drinks that live on the camp table, not the bar: caffeine in the morning, electrolytes all day, two unsweetened iced teas plus one sweetened winter melon tea, and a canned block (Celsius, hard seltzer, Spindrift, ginger beer) counted by the can rather than by the gallon, plus the coffee creamer. Everything here runs EIGHT days (Assumptions B81) — Sunday through the closing Sunday. Quantities are live from the Assumptions tab — yellow cells there drive gallons. These feed the Purchase List rows tagged 'Camp bulk'.</t>
        </is>
      </c>
    </row>
    <row r="5" ht="27.75" customHeight="1" s="171">
      <c r="A5" s="200" t="inlineStr">
        <is>
          <t>Drink</t>
        </is>
      </c>
      <c r="B5" s="200" t="inlineStr">
        <is>
          <t>Gallons</t>
        </is>
      </c>
      <c r="C5" s="200" t="inlineStr">
        <is>
          <t>Servings (10oz)</t>
        </is>
      </c>
      <c r="D5" s="200" t="inlineStr">
        <is>
          <t>What to buy</t>
        </is>
      </c>
      <c r="E5" s="200" t="inlineStr">
        <is>
          <t>Qty</t>
        </is>
      </c>
      <c r="F5" s="200" t="inlineStr">
        <is>
          <t>Unit</t>
        </is>
      </c>
      <c r="G5" s="200" t="inlineStr">
        <is>
          <t>$/unit</t>
        </is>
      </c>
      <c r="H5" s="200" t="inlineStr">
        <is>
          <t>Subtotal</t>
        </is>
      </c>
      <c r="I5" s="200" t="inlineStr">
        <is>
          <t>Note</t>
        </is>
      </c>
    </row>
    <row r="6" ht="33.75" customHeight="1" s="171">
      <c r="A6" s="201" t="inlineStr">
        <is>
          <t>Cold brew coffee</t>
        </is>
      </c>
      <c r="B6" s="202">
        <f>Assumptions!$B$81*Assumptions!$B$82</f>
        <v/>
      </c>
      <c r="C6" s="203">
        <f>B6*128/10</f>
        <v/>
      </c>
      <c r="D6" s="201" t="inlineStr">
        <is>
          <t>Stone Street COARSE cold brew coffee (5 lb bags)</t>
        </is>
      </c>
      <c r="E6" s="203">
        <f>CEILING(B6*Assumptions!$B$83/Assumptions!$B$84,1)</f>
        <v/>
      </c>
      <c r="F6" s="204" t="inlineStr">
        <is>
          <t>lbs</t>
        </is>
      </c>
      <c r="G6" s="205">
        <f>Assumptions!$B$85</f>
        <v/>
      </c>
      <c r="H6" s="205">
        <f>E6*G6</f>
        <v/>
      </c>
      <c r="I6" s="206" t="inlineStr">
        <is>
          <t>Brewed as concentrate then cut ~1:1. Assumptions B82 sets gallons/day. SWITCHED TO GROUND 18 Aug 2026 (was whole bean, which needed a grinder nobody has) — 14 lb ordered, mixed bag sizes since 5 lb ground wasn't available in enough quantity. RATIO CORRECTED same day: 0.5 lb/gal (Assumptions B83), not the original 1 — 24 finished gal x 0.5 = 12 lb needed, so 14 lb carries a ~2 lb buffer, a bit more generous than the original plan's 1 lb spare. Steep it in the strainer bags on Supplies row 28: grounds go IN the bag, bag comes out, no second filtration pass.</t>
        </is>
      </c>
    </row>
    <row r="7" ht="33.75" customHeight="1" s="171">
      <c r="A7" s="201" t="inlineStr">
        <is>
          <t>Electrolyte mix</t>
        </is>
      </c>
      <c r="B7" s="202">
        <f>Assumptions!$B$81*Assumptions!$B$86</f>
        <v/>
      </c>
      <c r="C7" s="203">
        <f>B7*128/10</f>
        <v/>
      </c>
      <c r="D7" s="201" t="inlineStr">
        <is>
          <t>Powder canisters</t>
        </is>
      </c>
      <c r="E7" s="203">
        <f>CEILING(B7/Assumptions!$B$87,1)</f>
        <v/>
      </c>
      <c r="F7" s="204" t="inlineStr">
        <is>
          <t>canisters</t>
        </is>
      </c>
      <c r="G7" s="205">
        <f>Assumptions!$B$88</f>
        <v/>
      </c>
      <c r="H7" s="205">
        <f>E7*G7</f>
        <v/>
      </c>
      <c r="I7" s="206" t="inlineStr">
        <is>
          <t>Gatorade-style 51oz canister, ~6 gal each. Assumptions B86 sets gallons/day.</t>
        </is>
      </c>
    </row>
    <row r="8" ht="33.75" customHeight="1" s="171">
      <c r="A8" s="201" t="inlineStr">
        <is>
          <t>Winter melon tea (dong gua cha)</t>
        </is>
      </c>
      <c r="B8" s="202">
        <f>Assumptions!$B$135</f>
        <v/>
      </c>
      <c r="C8" s="203">
        <f>B8*128/10</f>
        <v/>
      </c>
      <c r="D8" s="201" t="inlineStr">
        <is>
          <t>Tea/sugar blocks</t>
        </is>
      </c>
      <c r="E8" s="203">
        <f>CEILING(B8/Assumptions!$B$136,1)</f>
        <v/>
      </c>
      <c r="F8" s="204" t="inlineStr">
        <is>
          <t>blocks</t>
        </is>
      </c>
      <c r="G8" s="205">
        <f>Assumptions!$B$137</f>
        <v/>
      </c>
      <c r="H8" s="205">
        <f>E8*G8</f>
        <v/>
      </c>
      <c r="I8" s="207" t="inlineStr">
        <is>
          <t>Winter melon (white gourd) sugar block, dissolved in hot water then chilled — a classic Chinese/Taiwanese sweet iced tea, REPLACING SUAN MEI TANG 18 Aug 2026. Served cold and self-serve from the DEDICATED TEA DISPENSER (Supplies row 23, third unit) — brewed in two batches, Wednesday and Friday. NOTE: unlike the other two camp teas, this one is SWEET, not unsweetened — label it clearly so it doesn't get mistaken for the unsweetened pair. *** RESEARCHED 18 Aug 2026, NOT A CHECKED RECEIPT: *** yield and price are estimated from a handful of Asian-grocery listings (Weee!, Yami) rather than a single confirmed SKU — see Assumptions B136/B137 for the basis. Standard prep is to simmer the block in water until dissolved, then dilute with water/ice to taste; treat the block-per-gallon figure as a starting point and adjust to the real product's own instructions once it arrives.</t>
        </is>
      </c>
    </row>
    <row r="9" ht="33.75" customHeight="1" s="171">
      <c r="A9" s="201" t="inlineStr">
        <is>
          <t>Mugicha (roasted barley tea)</t>
        </is>
      </c>
      <c r="B9" s="202">
        <f>Assumptions!$B$138</f>
        <v/>
      </c>
      <c r="C9" s="203">
        <f>B9*128/10</f>
        <v/>
      </c>
      <c r="D9" s="201" t="inlineStr">
        <is>
          <t>Teabags</t>
        </is>
      </c>
      <c r="E9" s="203">
        <f>CEILING(B9*Assumptions!$B$139/Assumptions!$B$140,1)</f>
        <v/>
      </c>
      <c r="F9" s="204" t="inlineStr">
        <is>
          <t>boxes</t>
        </is>
      </c>
      <c r="G9" s="205">
        <f>Assumptions!$B$141</f>
        <v/>
      </c>
      <c r="H9" s="205">
        <f>E9*G9</f>
        <v/>
      </c>
      <c r="I9" s="207" t="inlineStr">
        <is>
          <t>Cold-steep overnight, serve iced and unsweetened. Shares the dedicated tea dispenser with the suan mei tang — brewed in two batches, Thursday and Saturday. Label it: unsweetened surprises people.</t>
        </is>
      </c>
    </row>
    <row r="10" ht="50.25" customHeight="1" s="171">
      <c r="A10" s="201" t="inlineStr">
        <is>
          <t>Green tea (iced)</t>
        </is>
      </c>
      <c r="B10" s="202">
        <f>Assumptions!$B$177</f>
        <v/>
      </c>
      <c r="C10" s="203">
        <f>B10*128/10</f>
        <v/>
      </c>
      <c r="D10" s="201" t="inlineStr">
        <is>
          <t>Teabags</t>
        </is>
      </c>
      <c r="E10" s="203">
        <f>CEILING(B10*Assumptions!$B$178/Assumptions!$B$179,1)</f>
        <v/>
      </c>
      <c r="F10" s="204" t="inlineStr">
        <is>
          <t>boxes</t>
        </is>
      </c>
      <c r="G10" s="205">
        <f>Assumptions!$B$180</f>
        <v/>
      </c>
      <c r="H10" s="205">
        <f>E10*G10</f>
        <v/>
      </c>
      <c r="I10" s="207" t="inlineStr">
        <is>
          <t>Cold-steep overnight, serve iced and unsweetened. THIRD tea on the dedicated dispenser (Supplies row 23) — suan mei tang and mugicha already share it, so either stagger a third brew slot or add a fourth dispenser. Label it unsweetened.</t>
        </is>
      </c>
    </row>
    <row r="11" ht="15" customHeight="1" s="171">
      <c r="A11" s="208" t="inlineStr">
        <is>
          <t>Tangerine juice (RATIONED)</t>
        </is>
      </c>
      <c r="B11" s="208">
        <f>Assumptions!$B$194*Assumptions!$B$195/128</f>
        <v/>
      </c>
      <c r="C11" s="209">
        <f>B11*128/10</f>
        <v/>
      </c>
      <c r="D11" s="208" t="inlineStr">
        <is>
          <t>Quart cartons, chilled</t>
        </is>
      </c>
      <c r="E11" s="210">
        <f>Assumptions!$B$194</f>
        <v/>
      </c>
      <c r="F11" s="208" t="inlineStr">
        <is>
          <t>quarts</t>
        </is>
      </c>
      <c r="G11" s="211">
        <f>Assumptions!$B$196</f>
        <v/>
      </c>
      <c r="H11" s="212">
        <f>E11*G11</f>
        <v/>
      </c>
      <c r="I11" s="213" t="inlineStr">
        <is>
          <t>*** RATION IT. *** 4 quarts is ~13 servings against an eight-day burn — this is a treat, not a staple, and it will be gone by Monday lunchtime if it goes out with everything else. Put ONE quart out at a time, in the morning alongside the cold brew, and keep the rest out of the cooler people browse. It is the only thing on the camp block that tastes like it came from outside the desert, which is exactly why it disappears.</t>
        </is>
      </c>
    </row>
    <row r="12" ht="15" customHeight="1" s="171">
      <c r="A12" s="192" t="inlineStr">
        <is>
          <t>TOTAL</t>
        </is>
      </c>
      <c r="C12" s="170">
        <f>SUM(C6:C11)</f>
        <v/>
      </c>
      <c r="H12" s="170">
        <f>SUM(H6:H11)</f>
        <v/>
      </c>
    </row>
    <row r="13" ht="30" customHeight="1" s="171">
      <c r="A13" s="174" t="inlineStr">
        <is>
          <t>These eleven are tagged 'Camp bulk' on the Purchase List — camper supply, not bar service. They are not sized against guest servings and do not appear in the per-drink cost figures.</t>
        </is>
      </c>
    </row>
    <row r="15" ht="15" customHeight="1" s="171">
      <c r="A15" s="170" t="inlineStr">
        <is>
          <t>CANNED — self-serve from the cooler, counted by the can. CHANGE THE COUNTS ON Assumptions B183 (Celsius) / B186 (seltzer) / B189 (Spindrift) / B199 (ginger beer) — columns B and C here are both derived and will overwrite anything typed into them. The pack sizes in columns D-F only exist to price the buy; the Purchase List asks for TOTAL CANS, so any pack format on the shelf is fine.</t>
        </is>
      </c>
    </row>
    <row r="16" ht="44.25" customHeight="1" s="171">
      <c r="A16" s="200" t="inlineStr">
        <is>
          <t>Drink</t>
        </is>
      </c>
      <c r="B16" s="200" t="inlineStr">
        <is>
          <t>Cans (from Assumptions)</t>
        </is>
      </c>
      <c r="C16" s="200" t="inlineStr">
        <is>
          <t>Servings (= cans)</t>
        </is>
      </c>
      <c r="D16" s="200" t="inlineStr">
        <is>
          <t>What to buy</t>
        </is>
      </c>
      <c r="E16" s="200" t="inlineStr">
        <is>
          <t>Qty</t>
        </is>
      </c>
      <c r="F16" s="200" t="inlineStr">
        <is>
          <t>Unit</t>
        </is>
      </c>
      <c r="G16" s="200" t="inlineStr">
        <is>
          <t>$/unit</t>
        </is>
      </c>
      <c r="H16" s="200" t="inlineStr">
        <is>
          <t>Subtotal</t>
        </is>
      </c>
      <c r="I16" s="200" t="inlineStr">
        <is>
          <t>Note</t>
        </is>
      </c>
    </row>
    <row r="17" ht="25.5" customHeight="1" s="171">
      <c r="A17" s="201" t="inlineStr">
        <is>
          <t>Celsius (energy drink)</t>
        </is>
      </c>
      <c r="B17" s="202">
        <f>Assumptions!$B$183</f>
        <v/>
      </c>
      <c r="C17" s="203">
        <f>B17</f>
        <v/>
      </c>
      <c r="D17" s="201" t="inlineStr">
        <is>
          <t>12-packs</t>
        </is>
      </c>
      <c r="E17" s="203">
        <f>CEILING(B17/Assumptions!$B$184,1)</f>
        <v/>
      </c>
      <c r="F17" s="204" t="inlineStr">
        <is>
          <t>packs</t>
        </is>
      </c>
      <c r="G17" s="205">
        <f>Assumptions!$B$185</f>
        <v/>
      </c>
      <c r="H17" s="205">
        <f>E17*G17</f>
        <v/>
      </c>
      <c r="I17" s="207" t="inlineStr">
        <is>
          <t>Camper stock — caffeine that is not coffee. Not bar service and not counted in the per-drink figures.</t>
        </is>
      </c>
    </row>
    <row r="18" ht="25.5" customHeight="1" s="171">
      <c r="A18" s="201" t="inlineStr">
        <is>
          <t>White Claw (or equivalent hard seltzer)</t>
        </is>
      </c>
      <c r="B18" s="202">
        <f>Assumptions!$B$186</f>
        <v/>
      </c>
      <c r="C18" s="203">
        <f>B18</f>
        <v/>
      </c>
      <c r="D18" s="201" t="inlineStr">
        <is>
          <t>12-packs</t>
        </is>
      </c>
      <c r="E18" s="203">
        <f>CEILING(B18/Assumptions!$B$187,1)</f>
        <v/>
      </c>
      <c r="F18" s="204" t="inlineStr">
        <is>
          <t>packs</t>
        </is>
      </c>
      <c r="G18" s="205">
        <f>Assumptions!$B$188</f>
        <v/>
      </c>
      <c r="H18" s="205">
        <f>E18*G18</f>
        <v/>
      </c>
      <c r="I18" s="207" t="inlineStr">
        <is>
          <t>ALREADY ALCOHOLIC — no liquor add-on. Any equivalent seltzer substitutes 1:1; swap the price on Assumptions B188.</t>
        </is>
      </c>
    </row>
    <row r="19" ht="25.5" customHeight="1" s="171">
      <c r="A19" s="201" t="inlineStr">
        <is>
          <t>Spindrift</t>
        </is>
      </c>
      <c r="B19" s="202">
        <f>Assumptions!$B$189</f>
        <v/>
      </c>
      <c r="C19" s="203">
        <f>B19</f>
        <v/>
      </c>
      <c r="D19" s="201" t="inlineStr">
        <is>
          <t>24-packs</t>
        </is>
      </c>
      <c r="E19" s="203">
        <f>CEILING(B19/Assumptions!$B$190,1)</f>
        <v/>
      </c>
      <c r="F19" s="204" t="inlineStr">
        <is>
          <t>packs</t>
        </is>
      </c>
      <c r="G19" s="205">
        <f>Assumptions!$B$191</f>
        <v/>
      </c>
      <c r="H19" s="205">
        <f>E19*G19</f>
        <v/>
      </c>
      <c r="I19" s="207" t="inlineStr">
        <is>
          <t>Sparkling water with real juice — the low-sugar option for people who are done with syrup.</t>
        </is>
      </c>
    </row>
    <row r="20" ht="25.5" customHeight="1" s="171">
      <c r="A20" s="201" t="inlineStr">
        <is>
          <t>Ginger beer (camper stock)</t>
        </is>
      </c>
      <c r="B20" s="202">
        <f>Assumptions!$B$199</f>
        <v/>
      </c>
      <c r="C20" s="203">
        <f>B20</f>
        <v/>
      </c>
      <c r="D20" s="201" t="inlineStr">
        <is>
          <t>24-packs</t>
        </is>
      </c>
      <c r="E20" s="203">
        <f>CEILING(B20/Assumptions!$B$200,1)</f>
        <v/>
      </c>
      <c r="F20" s="204" t="inlineStr">
        <is>
          <t>packs</t>
        </is>
      </c>
      <c r="G20" s="205">
        <f>Assumptions!$B$201</f>
        <v/>
      </c>
      <c r="H20" s="205">
        <f>E20*G20</f>
        <v/>
      </c>
      <c r="I20" s="207" t="inlineStr">
        <is>
          <t>CAMPER STOCK — separate from the bar. The bar already buys ginger beer twice: the cans the Kombucha Mule build eats ('Other Consumables' row 36) and the 24-can mixer buffer that turns any liquor into a mule ('Bar Add-Ons' row 9). This is the third pool, in the cooler, for campers to take. Change the count on Assumptions B199.</t>
        </is>
      </c>
    </row>
    <row r="21" ht="15" customHeight="1" s="171">
      <c r="A21" s="201" t="inlineStr">
        <is>
          <t>Mountain Dew (camper stock)</t>
        </is>
      </c>
      <c r="B21" s="202">
        <f>Assumptions!$B$258</f>
        <v/>
      </c>
      <c r="C21" s="203">
        <f>B21</f>
        <v/>
      </c>
      <c r="D21" s="201" t="inlineStr">
        <is>
          <t>12-packs</t>
        </is>
      </c>
      <c r="E21" s="203">
        <f>CEILING(B21/Assumptions!$B$259,1)</f>
        <v/>
      </c>
      <c r="F21" s="204" t="inlineStr">
        <is>
          <t>packs</t>
        </is>
      </c>
      <c r="G21" s="205">
        <f>Assumptions!$B$260</f>
        <v/>
      </c>
      <c r="H21" s="205">
        <f>E21*G21</f>
        <v/>
      </c>
    </row>
    <row r="22" ht="15" customHeight="1" s="171">
      <c r="A22" s="208" t="inlineStr">
        <is>
          <t>TOTAL — CANNED</t>
        </is>
      </c>
      <c r="B22" s="209">
        <f>SUM(B17:B21)</f>
        <v/>
      </c>
      <c r="C22" s="209">
        <f>SUM(C17:C21)</f>
        <v/>
      </c>
      <c r="H22" s="212">
        <f>SUM(H17:H21)</f>
        <v/>
      </c>
    </row>
    <row r="23" ht="15" customHeight="1" s="171">
      <c r="A23" s="175" t="n"/>
    </row>
    <row r="24" ht="43.5" customHeight="1" s="171">
      <c r="A24" s="175" t="inlineStr">
        <is>
          <t>COFFEE CREAMER — camper item</t>
        </is>
      </c>
    </row>
    <row r="25" ht="30" customHeight="1" s="171">
      <c r="A25" s="174" t="inlineStr">
        <is>
          <t>Creamer for the cold brew, and the answer for anyone who does not want coconut. The bar dropped dairy entirely — cream of coconut is the only cream in the model (Assumptions B10) — so without this there is nothing to put in a coffee and nothing to offer someone who dislikes coconut. Camper item: it sits on the camp table with the cold brew, it is not bar service, and it is not sized against guest servings. Count and price on Assumptions B204/B205; the dairy/non-dairy split is a shopping note, not a modelled input.</t>
        </is>
      </c>
    </row>
    <row r="26" ht="43.5" customHeight="1" s="171">
      <c r="A26" s="200" t="inlineStr">
        <is>
          <t>Item</t>
        </is>
      </c>
      <c r="B26" s="200" t="n"/>
      <c r="C26" s="200" t="n"/>
      <c r="D26" s="200" t="inlineStr">
        <is>
          <t>What to buy</t>
        </is>
      </c>
      <c r="E26" s="200" t="inlineStr">
        <is>
          <t>Qty</t>
        </is>
      </c>
      <c r="F26" s="200" t="inlineStr">
        <is>
          <t>Unit</t>
        </is>
      </c>
      <c r="G26" s="200" t="inlineStr">
        <is>
          <t>$/unit</t>
        </is>
      </c>
      <c r="H26" s="200" t="inlineStr">
        <is>
          <t>Subtotal</t>
        </is>
      </c>
      <c r="I26" s="200" t="inlineStr">
        <is>
          <t>Note</t>
        </is>
      </c>
    </row>
    <row r="27" ht="15" customHeight="1" s="171">
      <c r="A27" s="201" t="inlineStr">
        <is>
          <t>Coffee creamer</t>
        </is>
      </c>
      <c r="B27" s="202" t="n"/>
      <c r="C27" s="203" t="n"/>
      <c r="D27" s="201" t="inlineStr">
        <is>
          <t>Creamer, 32oz — 4 dairy (Starbucks Caramel Macchiato, already ordered)</t>
        </is>
      </c>
      <c r="E27" s="203">
        <f>Assumptions!$B$204</f>
        <v/>
      </c>
      <c r="F27" s="204" t="inlineStr">
        <is>
          <t>bottles</t>
        </is>
      </c>
      <c r="G27" s="205">
        <f>Assumptions!$B$205</f>
        <v/>
      </c>
      <c r="H27" s="205">
        <f>E27*G27</f>
        <v/>
      </c>
      <c r="I27" s="207" t="inlineStr">
        <is>
          <t>Camper stock. For the coffee and as the non-coconut cream option in the dirty sodas. DAIRY PORTION ONLY as of 18 Aug 2026 — the non-dairy half moved to Rice Dream Horchata (Purchase List row 46), which does double duty as the Friday jug's horchata base too. Sized off last year, where camp got through close to a bottle a day.</t>
        </is>
      </c>
    </row>
    <row r="28" ht="15" customHeight="1" s="171">
      <c r="A28" s="192" t="n"/>
      <c r="B28" s="192" t="n"/>
      <c r="C28" s="174" t="n"/>
    </row>
    <row r="29" ht="30" customHeight="1" s="171">
      <c r="A29" s="175" t="inlineStr">
        <is>
          <t>DISPENSER SIGNS — 3 x 5, taped to the dispenser</t>
        </is>
      </c>
    </row>
    <row r="30" ht="15" customHeight="1" s="171">
      <c r="A30" s="174" t="inlineStr">
        <is>
          <t>Print and laminate before playa (Supplies row 26). All three teas are cold and unsweetened — without a sign people assume iced tea, take one sip and walk off. Say what it is, say it is unsweetened, say it is cold. Keep it to what fits on a 3 x 5 card.</t>
        </is>
      </c>
    </row>
    <row r="31" ht="43.5" customHeight="1" s="171">
      <c r="A31" s="214" t="inlineStr">
        <is>
          <t>Sign</t>
        </is>
      </c>
      <c r="B31" s="214" t="inlineStr">
        <is>
          <t>Headline</t>
        </is>
      </c>
      <c r="C31" s="214" t="inlineStr">
        <is>
          <t>Body copy</t>
        </is>
      </c>
    </row>
    <row r="32" ht="43.5" customHeight="1" s="171">
      <c r="A32" s="192" t="inlineStr">
        <is>
          <t>Winter melon tea</t>
        </is>
      </c>
      <c r="B32" s="192" t="inlineStr">
        <is>
          <t>WINTER MELON TEA — Dong Gua Cha</t>
        </is>
      </c>
      <c r="C32" s="174" t="inlineStr">
        <is>
          <t>Chinese/Taiwanese winter melon sugar tea, served ice cold. SWEET — the one sweet option on the camp tea dispenser, unlike the other two. Smooth, mellow, caramel-like, not fruity. Caffeine-free.</t>
        </is>
      </c>
    </row>
    <row r="33" ht="15" customHeight="1" s="171">
      <c r="A33" s="192" t="inlineStr">
        <is>
          <t>Mugicha</t>
        </is>
      </c>
      <c r="B33" s="192" t="inlineStr">
        <is>
          <t>MUGICHA — Roasted Barley Tea</t>
        </is>
      </c>
      <c r="C33" s="174" t="inlineStr">
        <is>
          <t>Roasted barley, brewed cold. UNSWEETENED and CAFFEINE-FREE. Nutty and toasty, not bitter. Drink it like water — this is the one to hand someone who has had enough sugar for one day.</t>
        </is>
      </c>
    </row>
    <row r="34" ht="31.5" customHeight="1" s="171">
      <c r="A34" s="192" t="inlineStr">
        <is>
          <t>Green tea</t>
        </is>
      </c>
      <c r="B34" s="192" t="inlineStr">
        <is>
          <t>GREEN TEA — Iced, Unsweetened</t>
        </is>
      </c>
      <c r="C34" s="174" t="inlineStr">
        <is>
          <t>Cold-steeped green tea. UNSWEETENED, lightly caffeinated. Clean and grassy, not bitter — brewed cold so it never gets stewed. The one to drink when you want tea that tastes like tea.</t>
        </is>
      </c>
    </row>
    <row r="35" ht="15" customHeight="1" s="171">
      <c r="A35" s="192" t="inlineStr">
        <is>
          <t>Tangerine juice</t>
        </is>
      </c>
      <c r="B35" s="192" t="inlineStr">
        <is>
          <t>TANGERINE JUICE — Rationed</t>
        </is>
      </c>
      <c r="C35" s="174" t="inlineStr">
        <is>
          <t>Real tangerine juice, cold. There is not much of it and there will not be more. One cup, enjoy it, leave some for the person behind you.</t>
        </is>
      </c>
    </row>
  </sheetData>
  <mergeCells count="10">
    <mergeCell ref="A15:I15"/>
    <mergeCell ref="A25:I25"/>
    <mergeCell ref="A13:I13"/>
    <mergeCell ref="C35:I35"/>
    <mergeCell ref="A1:I1"/>
    <mergeCell ref="C34:I34"/>
    <mergeCell ref="C32:I32"/>
    <mergeCell ref="A3:I3"/>
    <mergeCell ref="C33:I33"/>
    <mergeCell ref="A30:I3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30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07" activeCellId="0" sqref="C207"/>
    </sheetView>
  </sheetViews>
  <sheetFormatPr baseColWidth="8" defaultColWidth="14.4296875" defaultRowHeight="15" zeroHeight="0" outlineLevelRow="0"/>
  <cols>
    <col width="34" customWidth="1" style="170" min="1" max="1"/>
    <col width="12" customWidth="1" style="170" min="2" max="2"/>
    <col width="40" customWidth="1" style="170" min="3" max="3"/>
    <col width="6" customWidth="1" style="170" min="4" max="4"/>
    <col width="8.710000000000001" customWidth="1" style="170" min="5" max="26"/>
  </cols>
  <sheetData>
    <row r="1" ht="25.5" customHeight="1" s="171">
      <c r="A1" s="177" t="inlineStr">
        <is>
          <t>Future Turtles Drinks — Supply Model (Burning Man 2026)</t>
        </is>
      </c>
    </row>
    <row r="2" ht="25.5" customHeight="1" s="171">
      <c r="A2" s="198" t="inlineStr">
        <is>
          <t>REPRICED — see the 'Ingredient Pricing' tab. Base soda, soda water, syrups, cream of coconut, purées, juices, agave, citrus and cherries now carry real July 2026 Costco / WebstaurantStore / Walmart prices instead of placeholders.</t>
        </is>
      </c>
    </row>
    <row r="3" ht="15" customHeight="1" s="171">
      <c r="A3" s="215" t="inlineStr">
        <is>
          <t>KEY INPUTS — yellow cells are editable</t>
        </is>
      </c>
    </row>
    <row r="4" ht="15" customHeight="1" s="171">
      <c r="A4" s="216" t="inlineStr">
        <is>
          <t>Input</t>
        </is>
      </c>
      <c r="B4" s="216" t="inlineStr">
        <is>
          <t>Value</t>
        </is>
      </c>
      <c r="C4" s="216" t="inlineStr">
        <is>
          <t>Note</t>
        </is>
      </c>
      <c r="D4" s="216" t="n"/>
    </row>
    <row r="5" ht="15" customHeight="1" s="171">
      <c r="A5" s="179" t="inlineStr">
        <is>
          <t>Buffer (waste/over-pour)</t>
        </is>
      </c>
      <c r="B5" s="217" t="n">
        <v>0.15</v>
      </c>
      <c r="C5" s="183" t="inlineStr">
        <is>
          <t>Applied to consumables.</t>
        </is>
      </c>
      <c r="D5" s="179" t="n"/>
    </row>
    <row r="6" ht="15" customHeight="1" s="171">
      <c r="A6" s="179" t="inlineStr">
        <is>
          <t>Cans per case (base soda)</t>
        </is>
      </c>
      <c r="B6" s="218" t="n">
        <v>35</v>
      </c>
      <c r="C6" s="183" t="inlineStr">
        <is>
          <t>12 oz can case.</t>
        </is>
      </c>
      <c r="D6" s="179" t="n"/>
    </row>
    <row r="7" ht="15" customHeight="1" s="171">
      <c r="A7" s="179" t="inlineStr">
        <is>
          <t>Can size (oz)</t>
        </is>
      </c>
      <c r="B7" s="217" t="n">
        <v>12</v>
      </c>
      <c r="C7" s="183" t="inlineStr">
        <is>
          <t>Standard can.</t>
        </is>
      </c>
      <c r="D7" s="179" t="n"/>
    </row>
    <row r="8" ht="15" customHeight="1" s="171">
      <c r="A8" s="179" t="inlineStr">
        <is>
          <t>Syrup bottle size (oz)</t>
        </is>
      </c>
      <c r="B8" s="217" t="n">
        <v>25.4</v>
      </c>
      <c r="C8" s="183" t="inlineStr">
        <is>
          <t>Torani 750ml. PUMP REFERENCE, added 20 Aug 2026: a standard Torani pump is 1/4 oz — 4 pumps = 1 fl oz. Recipe oz doses of 0.25 read as 1 pump, 0.5 as 2 pumps, 0.75 as 3 pumps, and so on.</t>
        </is>
      </c>
      <c r="D8" s="179" t="n"/>
    </row>
    <row r="9" ht="15" customHeight="1" s="171">
      <c r="A9" s="179" t="inlineStr">
        <is>
          <t>Cream of coconut (oz/bottle)</t>
        </is>
      </c>
      <c r="B9" s="218" t="n">
        <v>16.9</v>
      </c>
      <c r="C9" s="183" t="inlineStr">
        <is>
          <t>22oz squeeze bottle (Amazon).</t>
        </is>
      </c>
      <c r="D9" s="179" t="n"/>
    </row>
    <row r="10" ht="15" customHeight="1" s="171">
      <c r="A10" s="179" t="inlineStr">
        <is>
          <t>Half &amp; half (oz/quart) — LEGACY</t>
        </is>
      </c>
      <c r="B10" s="217" t="n">
        <v>32</v>
      </c>
      <c r="C10" s="183" t="inlineStr">
        <is>
          <t>Dairy dropped — replaced by cream of coconut squeeze bottles.</t>
        </is>
      </c>
      <c r="D10" s="179" t="n"/>
    </row>
    <row r="11" ht="15" customHeight="1" s="171">
      <c r="A11" s="179" t="inlineStr">
        <is>
          <t>Sizing unit (gal) — legacy keg block</t>
        </is>
      </c>
      <c r="B11" s="217" t="n">
        <v>5</v>
      </c>
      <c r="C11" s="183" t="inlineStr">
        <is>
          <t>All 5 kegs assumed 5 gal.</t>
        </is>
      </c>
      <c r="D11" s="179" t="n"/>
    </row>
    <row r="12" ht="15" customHeight="1" s="171">
      <c r="A12" s="179" t="inlineStr">
        <is>
          <t>Servings per unit</t>
        </is>
      </c>
      <c r="B12" s="217">
        <f>FLOOR((B11*128-B121)/B120,1)</f>
        <v/>
      </c>
      <c r="C12" s="183" t="inlineStr">
        <is>
          <t>Derived: (keg gal x 128 - loss) / pour size. Change B120 to resize every keg count in the model.</t>
        </is>
      </c>
      <c r="D12" s="179" t="n"/>
    </row>
    <row r="13" ht="15" customHeight="1" s="171">
      <c r="A13" s="179" t="inlineStr">
        <is>
          <t>Squirt bottle size (oz) — LEGACY</t>
        </is>
      </c>
      <c r="B13" s="217" t="n">
        <v>67.59999999999999</v>
      </c>
      <c r="C13" s="183" t="inlineStr">
        <is>
          <t>Legacy 2L sizing — Squirt now bought in 12oz cans like the other sodas.</t>
        </is>
      </c>
      <c r="D13" s="179" t="n"/>
    </row>
    <row r="15" ht="15" customHeight="1" s="171">
      <c r="A15" s="215" t="inlineStr">
        <is>
          <t>UNIT PRICES</t>
        </is>
      </c>
    </row>
    <row r="16" ht="15" customHeight="1" s="171">
      <c r="A16" s="179" t="inlineStr">
        <is>
          <t>Base soda — $/case (24)</t>
        </is>
      </c>
      <c r="B16" s="219" t="n">
        <v>16</v>
      </c>
      <c r="C16" s="179" t="n"/>
    </row>
    <row r="17" ht="15" customHeight="1" s="171">
      <c r="A17" s="179" t="inlineStr">
        <is>
          <t>Lemonade — $/96 oz bottle</t>
        </is>
      </c>
      <c r="B17" s="220" t="n">
        <v>4.5</v>
      </c>
      <c r="C17" s="179" t="inlineStr">
        <is>
          <t>SWITCHED TO READY-TO-DRINK 14 Aug 2026 — Kirkland Signature Organic Lemonade, 96 fl oz, sold as a 2-count pack. CONFIRMED SHELF-STABLE, not a cold-case item, so it does not claim cooler space until it is opened. This replaces the Country Time powder (82.5 oz canister, Costco item #92860) and with it the whole mix-on-arrival session. *** THE $4.50/BOTTLE HERE IS AN UNCHECKED PLACEHOLDER — $9.00 assumed for the 2-count pack. GET THE REAL SHELF PRICE AND REPLACE IT. *** The old powder line was $1.25 per finished gallon and the whole lemonade requirement cost $3.75, so even a bad price here moves the total by ~$15. Unit is now ONE 96 oz BOTTLE, not a gallon — Purchase List F12 multiplies by bottles.</t>
        </is>
      </c>
    </row>
    <row r="18" ht="15" customHeight="1" s="171">
      <c r="A18" s="179" t="inlineStr">
        <is>
          <t>Horchata mix — $/case-equiv — RETIRED 18 Aug 2026</t>
        </is>
      </c>
      <c r="B18" s="220" t="n">
        <v>5</v>
      </c>
      <c r="C18" s="179" t="inlineStr">
        <is>
          <t>Repriced 2 Aug 2026. RESOLVED — this was the workbook's flagged unknown. One 23.6 oz bottle of Mexquisita horchata concentrate (~$5-6, any Reno Latino grocery) dilutes 1:4-1:5 and lands almost exactly on the 165 oz the model needs. Klass 14.1 oz powder is cheaper (~$3, makes 7 quarts) but tastes thin on its own. Rice Dream cartons are 3.5x the cost — skip. RETIRED — switched to Rice Dream Horchata, ready-to-drink, no concentrate/dilution step. Purchase List row 46 is now a flat manual entry, not driven by this cell. Left in place, harmless.</t>
        </is>
      </c>
    </row>
    <row r="19" ht="15" customHeight="1" s="171">
      <c r="A19" s="179" t="inlineStr">
        <is>
          <t>Syrup — $/bottle</t>
        </is>
      </c>
      <c r="B19" s="219" t="n">
        <v>8</v>
      </c>
      <c r="C19" s="179" t="n"/>
    </row>
    <row r="20" ht="15" customHeight="1" s="171">
      <c r="A20" s="179" t="inlineStr">
        <is>
          <t>Cream of coconut — $/bottle</t>
        </is>
      </c>
      <c r="B20" s="219" t="n">
        <v>3.98</v>
      </c>
      <c r="C20" s="179" t="n"/>
    </row>
    <row r="21" ht="15.75" customHeight="1" s="171">
      <c r="A21" s="179" t="inlineStr">
        <is>
          <t>Half &amp; half — $/quart — LEGACY</t>
        </is>
      </c>
      <c r="B21" s="220" t="n">
        <v>3.5</v>
      </c>
      <c r="C21" s="179" t="n"/>
    </row>
    <row r="22" ht="15.75" customHeight="1" s="171">
      <c r="A22" s="179" t="inlineStr">
        <is>
          <t>Soda water — $/case — LEGACY (soda water is 1 L now, see B236)</t>
        </is>
      </c>
      <c r="B22" s="219" t="n">
        <v>13</v>
      </c>
      <c r="C22" s="179" t="n"/>
    </row>
    <row r="23" ht="15.75" customHeight="1" s="171">
      <c r="A23" s="179" t="inlineStr">
        <is>
          <t>Squirt — (now in cans; see soda case price)</t>
        </is>
      </c>
      <c r="B23" s="220" t="n">
        <v>2.5</v>
      </c>
      <c r="C23" s="179" t="n"/>
    </row>
    <row r="24" ht="15.75" customHeight="1" s="171">
      <c r="A24" s="179" t="inlineStr">
        <is>
          <t>Cider — old keg $ (BASELINE ONLY)</t>
        </is>
      </c>
      <c r="B24" s="220" t="n">
        <v>160</v>
      </c>
      <c r="C24" s="179" t="n"/>
    </row>
    <row r="25" ht="15.75" customHeight="1" s="171">
      <c r="A25" s="179" t="inlineStr">
        <is>
          <t>Kombucha — old keg $ (BASELINE ONLY)</t>
        </is>
      </c>
      <c r="B25" s="220" t="n">
        <v>130</v>
      </c>
      <c r="C25" s="179" t="n"/>
    </row>
    <row r="26" ht="15.75" customHeight="1" s="171">
      <c r="A26" s="179" t="inlineStr">
        <is>
          <t>Beer — old keg $ (BASELINE ONLY)</t>
        </is>
      </c>
      <c r="B26" s="220" t="n">
        <v>180</v>
      </c>
      <c r="C26" s="179" t="n"/>
    </row>
    <row r="27" ht="15.75" customHeight="1" s="171">
      <c r="A27" s="179" t="inlineStr">
        <is>
          <t>Green tea — old keg $ (BASELINE ONLY)</t>
        </is>
      </c>
      <c r="B27" s="220" t="n">
        <v>130</v>
      </c>
      <c r="C27" s="179" t="n"/>
    </row>
    <row r="28" ht="15.75" customHeight="1" s="171">
      <c r="A28" s="179" t="inlineStr">
        <is>
          <t>Old keg add-ons/garnish $ (BASELINE ONLY)</t>
        </is>
      </c>
      <c r="B28" s="220" t="n">
        <v>25</v>
      </c>
      <c r="C28" s="179" t="n"/>
    </row>
    <row r="29" ht="15.75" customHeight="1" s="171">
      <c r="A29" s="221" t="inlineStr">
        <is>
          <t>Kombucha</t>
        </is>
      </c>
      <c r="B29" s="220" t="n">
        <v>0.35</v>
      </c>
      <c r="C29" s="179" t="inlineStr">
        <is>
          <t>Kombucha Mule add-ins (yuzu/agave/ginger beer); Tang Dynasty extras are itemized separately.</t>
        </is>
      </c>
    </row>
    <row r="30" ht="15.75" customHeight="1" s="171"/>
    <row r="31" ht="15.75" customHeight="1" s="171">
      <c r="A31" s="215" t="inlineStr">
        <is>
          <t>RETIRED — KEG EQUIPMENT (kept only as the cost baseline)</t>
        </is>
      </c>
    </row>
    <row r="32" ht="15.75" customHeight="1" s="171">
      <c r="A32" s="179" t="inlineStr">
        <is>
          <t>Keg deposit — each (REFUNDABLE)</t>
        </is>
      </c>
      <c r="B32" s="220" t="n">
        <v>50</v>
      </c>
      <c r="C32" s="179" t="inlineStr">
        <is>
          <t>Cash needed up front, returned with the empties — excluded from program cost.</t>
        </is>
      </c>
    </row>
    <row r="33" ht="15.75" customHeight="1" s="171">
      <c r="A33" s="179" t="inlineStr">
        <is>
          <t>Double jockey box (2 taps) — $ per 4-day rental</t>
        </is>
      </c>
      <c r="B33" s="220" t="n">
        <v>150</v>
      </c>
      <c r="C33" s="179" t="inlineStr">
        <is>
          <t>Ice-cooled coil box; no kegerator needed.</t>
        </is>
      </c>
    </row>
    <row r="34" ht="15.75" customHeight="1" s="171">
      <c r="A34" s="179" t="inlineStr">
        <is>
          <t>Rental periods (12 days = 3 x 4-day)</t>
        </is>
      </c>
      <c r="B34" s="220" t="n">
        <v>3</v>
      </c>
      <c r="C34" s="179" t="n"/>
    </row>
    <row r="35" ht="15.75" customHeight="1" s="171">
      <c r="A35" s="179" t="inlineStr">
        <is>
          <t>CO2 refill — $ each</t>
        </is>
      </c>
      <c r="B35" s="220" t="n">
        <v>59</v>
      </c>
      <c r="C35" s="179" t="n"/>
    </row>
    <row r="36" ht="15.75" customHeight="1" s="171">
      <c r="A36" s="179" t="inlineStr">
        <is>
          <t>CO2 refills — count</t>
        </is>
      </c>
      <c r="B36" s="220" t="n">
        <v>2</v>
      </c>
      <c r="C36" s="179" t="inlineStr">
        <is>
          <t>10lb pushes ~5-7 kegs; 2nd fill covers heat/venting losses.</t>
        </is>
      </c>
    </row>
    <row r="37" ht="15.75" customHeight="1" s="171"/>
    <row r="38" ht="15.75" customHeight="1" s="171">
      <c r="A38" s="215" t="inlineStr">
        <is>
          <t>LIQUOR (OPTIONAL ADD-ON)</t>
        </is>
      </c>
    </row>
    <row r="39" ht="15.75" customHeight="1" s="171">
      <c r="A39" s="179" t="inlineStr">
        <is>
          <t>% of drinks made alcoholic</t>
        </is>
      </c>
      <c r="B39" s="217" t="n">
        <v>0.35</v>
      </c>
      <c r="C39" s="183" t="inlineStr">
        <is>
          <t>Applied to servings per recipe to size liquor needs.</t>
        </is>
      </c>
      <c r="D39" s="179" t="n"/>
    </row>
    <row r="40" ht="15.75" customHeight="1" s="171">
      <c r="A40" s="179" t="inlineStr">
        <is>
          <t>Liquor pour per alcoholic drink (oz)</t>
        </is>
      </c>
      <c r="B40" s="217" t="n">
        <v>1.5</v>
      </c>
      <c r="C40" s="183" t="inlineStr">
        <is>
          <t>Standard single shot.</t>
        </is>
      </c>
      <c r="D40" s="179" t="n"/>
    </row>
    <row r="41" ht="15.75" customHeight="1" s="171">
      <c r="A41" s="179" t="inlineStr">
        <is>
          <t>Liquor bottle size (oz)</t>
        </is>
      </c>
      <c r="B41" s="217" t="n">
        <v>25.4</v>
      </c>
      <c r="C41" s="183" t="inlineStr">
        <is>
          <t>750ml standard.</t>
        </is>
      </c>
      <c r="D41" s="179" t="n"/>
    </row>
    <row r="42" ht="15.75" customHeight="1" s="171">
      <c r="A42" s="179" t="inlineStr">
        <is>
          <t>Vodka — $/bottle</t>
        </is>
      </c>
      <c r="B42" s="220" t="n">
        <v>15</v>
      </c>
      <c r="C42" s="183" t="inlineStr">
        <is>
          <t>Repriced 2 Aug 2026. Tito's 750 ml, Total Wine $14.99-15.49. SEE THE 1.75 L NOTE BELOW — Kirkland is $8.35 per 750 ml equivalent.</t>
        </is>
      </c>
      <c r="D42" s="179" t="n"/>
    </row>
    <row r="43" ht="15.75" customHeight="1" s="171">
      <c r="A43" s="179" t="inlineStr">
        <is>
          <t>Coconut Rum — $/bottle</t>
        </is>
      </c>
      <c r="B43" s="220" t="n">
        <v>15.49</v>
      </c>
      <c r="C43" s="183" t="inlineStr">
        <is>
          <t>Repriced 2 Aug 2026. Malibu 750 ml, Total Wine $15.49.</t>
        </is>
      </c>
      <c r="D43" s="179" t="n"/>
    </row>
    <row r="44" ht="15.75" customHeight="1" s="171">
      <c r="A44" s="179" t="inlineStr">
        <is>
          <t>Bourbon — $/bottle</t>
        </is>
      </c>
      <c r="B44" s="220" t="n">
        <v>14</v>
      </c>
      <c r="C44" s="183" t="inlineStr">
        <is>
          <t>Repriced 2 Aug 2026. Evan Williams Black 750 ml, Total Wine $13.99 and it mixes fine. The old $28 only holds if you specifically want Buffalo Trace (~$29.99).</t>
        </is>
      </c>
      <c r="D44" s="179" t="n"/>
    </row>
    <row r="45" ht="15.75" customHeight="1" s="171">
      <c r="A45" s="179" t="inlineStr">
        <is>
          <t>Blanco Tequila — $/bottle</t>
        </is>
      </c>
      <c r="B45" s="220" t="n">
        <v>26</v>
      </c>
      <c r="C45" s="183" t="inlineStr">
        <is>
          <t>Repriced 2 Aug 2026. Espolòn Blanco 750 ml, ~$25.99 in store. Kirkland Tequila Blanco is 50-60% cheaper per 750 ml if you take the 1.75 L.</t>
        </is>
      </c>
      <c r="D45" s="179" t="n"/>
    </row>
    <row r="46" ht="15.75" customHeight="1" s="171">
      <c r="A46" s="179" t="inlineStr">
        <is>
          <t>Spiced Rum — $/bottle</t>
        </is>
      </c>
      <c r="B46" s="220" t="n">
        <v>15.99</v>
      </c>
      <c r="C46" s="183" t="inlineStr">
        <is>
          <t>Repriced 2 Aug 2026. Captain Morgan Original 750 ml, Total Wine $15.99.</t>
        </is>
      </c>
      <c r="D46" s="179" t="n"/>
    </row>
    <row r="47" ht="15.75" customHeight="1" s="171">
      <c r="A47" s="179" t="inlineStr">
        <is>
          <t>Whiskey — $/bottle</t>
        </is>
      </c>
      <c r="B47" s="220" t="n">
        <v>24.99</v>
      </c>
      <c r="C47" s="183" t="inlineStr">
        <is>
          <t>Repriced 2 Aug 2026. Jameson 750 ml $24.99. Ole Smoky Pickles moonshine, for the one pickle bottle, is $21.99.</t>
        </is>
      </c>
      <c r="D47" s="179" t="n"/>
    </row>
    <row r="48" ht="15.75" customHeight="1" s="171"/>
    <row r="49" ht="15.75" customHeight="1" s="171">
      <c r="A49" s="170" t="inlineStr">
        <is>
          <t>DAILY SPECIALS &amp; SUNDAY PARTY (new inputs)</t>
        </is>
      </c>
    </row>
    <row r="50" ht="15.75" customHeight="1" s="171">
      <c r="A50" s="170" t="inlineStr">
        <is>
          <t>Taps available at once (Mon–Sat)</t>
        </is>
      </c>
      <c r="B50" s="170" t="n">
        <v>2</v>
      </c>
      <c r="C50" s="170" t="inlineStr">
        <is>
          <t>Two continuous tap lines now: a 'beer line' + an 'other tap' line, each evolving through kegs across the week. See Keg Rotation tab.</t>
        </is>
      </c>
    </row>
    <row r="51" ht="15.75" customHeight="1" s="171">
      <c r="A51" s="170" t="inlineStr">
        <is>
          <t>Aqua fresca fruit base — oz/serving</t>
        </is>
      </c>
      <c r="B51" s="170" t="n">
        <v>3.2</v>
      </c>
      <c r="C51" s="170" t="inlineStr">
        <is>
          <t>Juice per fresca serving (watermelon Mon; Sat OJ fresca uses 4 oz).</t>
        </is>
      </c>
    </row>
    <row r="52" ht="15.75" customHeight="1" s="171">
      <c r="A52" s="170" t="inlineStr">
        <is>
          <t>Aqua fresca fruit base — $/32oz bottle</t>
        </is>
      </c>
      <c r="B52" s="170" t="n">
        <v>6</v>
      </c>
      <c r="C52" s="170" t="inlineStr">
        <is>
          <t>Legacy — Mon/Sat frescas now use whole melons / OJ cartons.</t>
        </is>
      </c>
    </row>
    <row r="53" ht="15.75" customHeight="1" s="171">
      <c r="A53" s="170" t="inlineStr">
        <is>
          <t>Aqua fresca fruit base — oz/bottle</t>
        </is>
      </c>
      <c r="B53" s="170" t="n">
        <v>32</v>
      </c>
    </row>
    <row r="54" ht="15.75" customHeight="1" s="171">
      <c r="A54" s="170" t="inlineStr">
        <is>
          <t>Agave — oz/serving (jug frescas)</t>
        </is>
      </c>
      <c r="B54" s="170" t="n">
        <v>0.35</v>
      </c>
      <c r="C54" s="174" t="inlineStr">
        <is>
          <t>Agave per serving for the Monday watermelon fresca. DROPPED from 0.45 — watermelon is already sweet and was getting more sugar than the hibiscus, which is far tarter. Agave is ~1.5x sweeter than simple syrup, so this is roughly 0.5 oz of simple. Taste and nudge.</t>
        </is>
      </c>
    </row>
    <row r="55" ht="15.75" customHeight="1" s="171">
      <c r="A55" s="170" t="inlineStr">
        <is>
          <t>Simple syrup — $/bottle — LEGACY (agave now, B133)</t>
        </is>
      </c>
      <c r="B55" s="170" t="n">
        <v>9</v>
      </c>
      <c r="C55" s="170" t="inlineStr">
        <is>
          <t>Reuse Torani-size bottle for costing.</t>
        </is>
      </c>
    </row>
    <row r="56" ht="15.75" customHeight="1" s="171">
      <c r="A56" s="170" t="inlineStr">
        <is>
          <t>Simple syrup — oz/bottle — LEGACY (agave now, B132)</t>
        </is>
      </c>
      <c r="B56" s="170" t="n">
        <v>25.4</v>
      </c>
    </row>
    <row r="57" ht="15.75" customHeight="1" s="171">
      <c r="A57" s="170" t="inlineStr">
        <is>
          <t>Snow Paws Milkshake IPA — RETIRED</t>
        </is>
      </c>
      <c r="B57" s="170" t="n">
        <v>210</v>
      </c>
      <c r="C57" s="170" t="inlineStr">
        <is>
          <t>Legacy — Snow Paws cut; second Kombucha keg closes the beer line instead.</t>
        </is>
      </c>
    </row>
    <row r="58" ht="15.75" customHeight="1" s="171">
      <c r="A58" s="170" t="inlineStr">
        <is>
          <t>Sour Ale — old keg $ (BASELINE ONLY)</t>
        </is>
      </c>
      <c r="B58" s="170" t="n">
        <v>190</v>
      </c>
      <c r="C58" s="170" t="inlineStr">
        <is>
          <t>Sunday party + first couple days.</t>
        </is>
      </c>
    </row>
    <row r="59" ht="15.75" customHeight="1" s="171">
      <c r="A59" s="170" t="inlineStr">
        <is>
          <t>Blonde Ale — old keg $ (BASELINE ONLY)</t>
        </is>
      </c>
      <c r="B59" s="170" t="n">
        <v>180</v>
      </c>
      <c r="C59" s="170" t="inlineStr">
        <is>
          <t>Sunday party pour + Michelada base Wed–Fri.</t>
        </is>
      </c>
    </row>
    <row r="60" ht="15.75" customHeight="1" s="171">
      <c r="A60" s="170" t="inlineStr">
        <is>
          <t>Michelada build — servings (from Mexican Lager keg)</t>
        </is>
      </c>
      <c r="B60" s="170" t="n">
        <v>30</v>
      </c>
      <c r="C60" s="170" t="inlineStr">
        <is>
          <t>Built to order from the Mexican Lager keg, like the Kombucha Mule. 30 of the keg's 50 pours go out as Micheladas; the other 20 are pulled straight (see 'Beverage Lines'!C11, which takes the remainder).</t>
        </is>
      </c>
    </row>
    <row r="61" ht="15.75" customHeight="1" s="171">
      <c r="A61" s="170" t="inlineStr">
        <is>
          <t>Michelada extras — $/serving (Tajin, lime, Clamato, hot sauce)</t>
        </is>
      </c>
      <c r="B61" s="170" t="n">
        <v>0.5</v>
      </c>
    </row>
    <row r="62" ht="15.75" customHeight="1" s="171">
      <c r="A62" s="170" t="inlineStr">
        <is>
          <t>Sakura + orange syrup — $/bottle</t>
        </is>
      </c>
      <c r="B62" s="170" t="n">
        <v>9</v>
      </c>
      <c r="C62" s="170" t="inlineStr">
        <is>
          <t>Added to the green tea keg for the Sat Catboy Café.</t>
        </is>
      </c>
    </row>
    <row r="63" ht="15.75" customHeight="1" s="171">
      <c r="A63" s="170" t="inlineStr">
        <is>
          <t>Sakura + orange syrup — bottles needed</t>
        </is>
      </c>
      <c r="B63" s="170" t="n">
        <v>2</v>
      </c>
      <c r="C63" s="170" t="inlineStr">
        <is>
          <t>1 sakura + 1 orange — covers the built Catboy Café Green Tea (Recipes row 14).</t>
        </is>
      </c>
    </row>
    <row r="64" ht="15.75" customHeight="1" s="171">
      <c r="A64" s="170" t="inlineStr">
        <is>
          <t>Rough daily-volume note</t>
        </is>
      </c>
      <c r="C64" s="170" t="inlineStr">
        <is>
          <t>Previous baseline ~80 drinks/day. Sunday party + Cider/White Tea/Michelada + 2 daily specials/day bumped the plan hard; the model now totals 1,323 servings (Totals by Type B11) after the cuts and additions to date — expect actual pace ~110/day. NOTE THE SATURDAY SPIKE: the Catboy Cafe finale stacks Sakura Kisses (33, Recipes row 14), Catboy Snot (25, Recipes row 16) and Catboy Piss (25, Recipes row 17) — 83 servings of reveal-only drinks — on top of the nightly jug (33) and the normal all-week board. That is ~116 servings from Saturday-only items alone, all built to order, all on the busiest day. THE JUG IS DELIBERATELY THE EASY ONE NOW: Saturday pours the same cold-steeped peach green tea as the closing Sunday, steeped the night before, so it needs no top-up and no stirring while the reveals are landing. Prep the aloe tint, the basil seeds and the hydrated garnishes on FRIDAY NIGHT, not Saturday.</t>
        </is>
      </c>
    </row>
    <row r="65" ht="15.75" customHeight="1" s="171">
      <c r="A65" s="170" t="inlineStr">
        <is>
          <t>Half keg price factor (vs full keg)</t>
        </is>
      </c>
      <c r="B65" s="170" t="n">
        <v>0.65</v>
      </c>
      <c r="C65" s="170" t="inlineStr">
        <is>
          <t>Vendor charges more per-oz for the smaller format, so it's not a flat 50%.</t>
        </is>
      </c>
    </row>
    <row r="66" ht="15.75" customHeight="1" s="171">
      <c r="A66" s="170" t="inlineStr">
        <is>
          <t>Servings per half keg</t>
        </is>
      </c>
      <c r="B66" s="170">
        <f>FLOOR(B12/2,1)</f>
        <v/>
      </c>
      <c r="C66" s="170" t="inlineStr">
        <is>
          <t>Half of a full keg's servings, rounded down.</t>
        </is>
      </c>
    </row>
    <row r="67" ht="15.75" customHeight="1" s="171">
      <c r="A67" s="170" t="inlineStr">
        <is>
          <t>Mexican Lager — old keg $ (BASELINE ONLY)</t>
        </is>
      </c>
      <c r="B67" s="170" t="n">
        <v>150</v>
      </c>
      <c r="C67" s="170" t="inlineStr">
        <is>
          <t>Built into Michelada mid-week (Wed-Thu) instead of Blonde Ale.</t>
        </is>
      </c>
    </row>
    <row r="68" ht="15.75" customHeight="1" s="171">
      <c r="A68" s="170" t="inlineStr">
        <is>
          <t>Daily jug size (L)</t>
        </is>
      </c>
      <c r="B68" s="170" t="n">
        <v>10</v>
      </c>
      <c r="C68" s="170" t="inlineStr">
        <is>
          <t>10 L drink dispenser (~2.6 gal). Derived oz and servings-per-jug are at rows 115-117; the Daily Schedule servings column reads from B117, so changing this resizes every nightly batch and its ingredient buys.</t>
        </is>
      </c>
    </row>
    <row r="69" ht="15.75" customHeight="1" s="171">
      <c r="A69" s="170" t="inlineStr">
        <is>
          <t>Orange juice — oz/carton</t>
        </is>
      </c>
      <c r="B69" s="170" t="n">
        <v>64</v>
      </c>
    </row>
    <row r="70" ht="15.75" customHeight="1" s="171">
      <c r="A70" s="170" t="inlineStr">
        <is>
          <t>Orange juice — $/carton</t>
        </is>
      </c>
      <c r="B70" s="193" t="n">
        <v>7.49</v>
      </c>
    </row>
    <row r="71" ht="15.75" customHeight="1" s="171">
      <c r="A71" s="170" t="inlineStr">
        <is>
          <t>Pineapple juice — oz/pack (24 x 8 oz)</t>
        </is>
      </c>
      <c r="B71" s="170" t="n">
        <v>192</v>
      </c>
      <c r="C71" s="170" t="inlineStr">
        <is>
          <t>FORMAT CHANGED 14 Aug 2026 — bought as Dole 100% Pineapple Juice, 24 x 8 fl oz = 192 oz per pack, not a 46 oz can. The Thursday Gradient Descent jug draws 82.5 oz (94.9 with buffer), so ONE pack covers it with 97 oz to spare — the leftover 8 oz cans are perfectly good handed out cold.</t>
        </is>
      </c>
    </row>
    <row r="72" ht="15.75" customHeight="1" s="171">
      <c r="A72" s="170" t="inlineStr">
        <is>
          <t>Pineapple juice — $/pack</t>
        </is>
      </c>
      <c r="B72" s="193" t="n">
        <v>13.99</v>
      </c>
      <c r="C72" s="170" t="inlineStr">
        <is>
          <t>*** UNCHECKED PLACEHOLDER — $13.99 assumed for the Dole 24 x 8 oz pack. GET THE RECEIPT PRICE AND REPLACE. *** Was $3.33 per 46 oz can. Only one pack is bought, so the whole line moves with this cell.</t>
        </is>
      </c>
    </row>
    <row r="73" ht="15.75" customHeight="1" s="171">
      <c r="A73" s="170" t="inlineStr">
        <is>
          <t>Grenadine — oz/bottle — RETIRED 18 Aug 2026</t>
        </is>
      </c>
      <c r="B73" s="170" t="n">
        <v>25</v>
      </c>
    </row>
    <row r="74" ht="15.75" customHeight="1" s="171">
      <c r="A74" s="170" t="inlineStr">
        <is>
          <t>Grenadine — $/bottle — RETIRED 18 Aug 2026</t>
        </is>
      </c>
      <c r="B74" s="170" t="n">
        <v>7.5</v>
      </c>
      <c r="C74" s="170" t="inlineStr">
        <is>
          <t>Repriced 2 Aug 2026. Rose's Grenadine 25 oz, Smart &amp; Final Reno $7.99. RETIRED 18 Aug 2026 — Thursday's jug garnish switched to Fee Brothers Cherry Bitters. Left in place, harmless: Jug Recipes row 25 now always evaluates to 0 regardless of these values.</t>
        </is>
      </c>
    </row>
    <row r="75" ht="15.75" customHeight="1" s="171">
      <c r="A75" s="170" t="inlineStr">
        <is>
          <t>Blue spirulina — $/jar</t>
        </is>
      </c>
      <c r="B75" s="170" t="n">
        <v>16</v>
      </c>
      <c r="C75" s="170" t="inlineStr">
        <is>
          <t>Repriced 2 Aug 2026. RESPECIFIED to a 30 g jar. The 50 g size barely exists — the market is 30 g and 60 g (Target Micro Ingredients 60 g $32.99). At 0.25-0.5 g per drink for colour, 30 g at ~$16 covers the week comfortably.</t>
        </is>
      </c>
    </row>
    <row r="76" ht="15.75" customHeight="1" s="171">
      <c r="A76" s="170" t="inlineStr">
        <is>
          <t>Watermelon — juice yield oz/melon</t>
        </is>
      </c>
      <c r="B76" s="170" t="n">
        <v>90</v>
      </c>
      <c r="C76" s="170" t="inlineStr">
        <is>
          <t>~15 lb melon → ~3 qt strained juice.</t>
        </is>
      </c>
    </row>
    <row r="77" ht="15.75" customHeight="1" s="171">
      <c r="A77" s="170" t="inlineStr">
        <is>
          <t>Watermelon — $/melon</t>
        </is>
      </c>
      <c r="B77" s="170" t="n">
        <v>7</v>
      </c>
    </row>
    <row r="78" ht="15.75" customHeight="1" s="171">
      <c r="A78" s="170" t="inlineStr">
        <is>
          <t>Lime juice — oz/bottle</t>
        </is>
      </c>
      <c r="B78" s="170" t="n">
        <v>48</v>
      </c>
      <c r="C78" s="170" t="inlineStr">
        <is>
          <t>ReaLime-style bottled.</t>
        </is>
      </c>
    </row>
    <row r="79" ht="15.75" customHeight="1" s="171">
      <c r="A79" s="170" t="inlineStr">
        <is>
          <t>Lime juice — $/bottle</t>
        </is>
      </c>
      <c r="B79" s="170" t="n">
        <v>4</v>
      </c>
    </row>
    <row r="80" ht="15.75" customHeight="1" s="171">
      <c r="A80" s="170" t="inlineStr">
        <is>
          <t>Maraschino cherries — $/jar</t>
        </is>
      </c>
      <c r="B80" s="193" t="n">
        <v>9.99</v>
      </c>
      <c r="C80" s="170" t="inlineStr">
        <is>
          <t>Repriced 2 Aug 2026. Luxardo 2 x 14.1 oz at Costco is $19.97 REGULAR = $9.99/jar; the old $7.49 was a sale price. STOCK RISK: carried by only ~24% of warehouses and single jars run $22-26 elsewhere. Ring Costco Reno; if they are out, substitute bulk cocktail cherries rather than paying retail Luxardo.</t>
        </is>
      </c>
    </row>
    <row r="81" ht="15.75" customHeight="1" s="171">
      <c r="A81" s="170" t="inlineStr">
        <is>
          <t>Event days (camp bulk drinks)</t>
        </is>
      </c>
      <c r="B81" s="170" t="n">
        <v>8</v>
      </c>
      <c r="C81" s="170" t="inlineStr">
        <is>
          <t>Sun through the CLOSING SUNDAY — eight days, not seven. Scales cold brew and electrolytes on Camp Drinks rows 6-7, and every buy that hangs off them. The eighth day is the daytime cafe service that carries the Graceful Shutdown jug ('Jug Recipes' row 11).</t>
        </is>
      </c>
    </row>
    <row r="82" ht="15.75" customHeight="1" s="171">
      <c r="A82" s="170" t="inlineStr">
        <is>
          <t>Cold brew — gallons/day</t>
        </is>
      </c>
      <c r="B82" s="170" t="n">
        <v>3</v>
      </c>
    </row>
    <row r="83" ht="15.75" customHeight="1" s="171">
      <c r="A83" s="170" t="inlineStr">
        <is>
          <t>Cold brew grounds — lb per gallon</t>
        </is>
      </c>
      <c r="B83" s="170" t="n">
        <v>0.5</v>
      </c>
      <c r="C83" s="170" t="inlineStr">
        <is>
          <t>CORRECTED 18 Aug 2026, was 1 lb/gal. The original 1 lb/gal was applied to B6's FINISHED (post-dilution) gallon count, but the brew method is concentrate-then-cut-~1:1 — cutting 1:1 roughly doubles volume, so grounds per FINISHED gallon should be roughly half of what a full-strength brew would need. Standard home cold-brew concentrate ratios (cut 1:1 to serve) land close to 0.5 lb grounds per finished gallon, which the user cross-checked independently and matches. 24 finished gal x 0.5 lb/gal = 12 lb needed, down from the original 24 lb. If your actual steep is stronger than a standard concentrate ratio, dial this back up — but 0.5 is the better default than the original 1.</t>
        </is>
      </c>
    </row>
    <row r="84" ht="15.75" customHeight="1" s="171">
      <c r="A84" s="170" t="inlineStr">
        <is>
          <t>Cold brew grounds — lb per purchase unit</t>
        </is>
      </c>
      <c r="B84" s="170" t="n">
        <v>1</v>
      </c>
      <c r="C84" s="170" t="inlineStr">
        <is>
          <t>CHANGED 18 Aug 2026, was 5 (fixed 5 lb bags). Ground coffee is now being bought as whatever bag sizes are actually in stock, not standardized 5 lb bags — set to 1 so the 'bags' column below just tracks lbs directly.</t>
        </is>
      </c>
    </row>
    <row r="85" ht="15.75" customHeight="1" s="171">
      <c r="A85" s="170" t="inlineStr">
        <is>
          <t>Cold brew grounds — $/lb</t>
        </is>
      </c>
      <c r="B85" s="170" t="n">
        <v>12</v>
      </c>
      <c r="C85" s="170" t="inlineStr">
        <is>
          <t>UPDATED 18 Aug 2026 — real receipt: 7 x 2lb bags at $23.99 each = $167.93 for 14 lb, i.e. $12.00/lb almost exactly ($11.995). Replaces the $14.60/lb placeholder.</t>
        </is>
      </c>
    </row>
    <row r="86" ht="15.75" customHeight="1" s="171">
      <c r="A86" s="170" t="inlineStr">
        <is>
          <t>Electrolyte mix — gallons/day</t>
        </is>
      </c>
      <c r="B86" s="170" t="n">
        <v>5</v>
      </c>
    </row>
    <row r="87" ht="15.75" customHeight="1" s="171">
      <c r="A87" s="170" t="inlineStr">
        <is>
          <t>Electrolyte mix — gal per canister</t>
        </is>
      </c>
      <c r="B87" s="170" t="n">
        <v>9</v>
      </c>
      <c r="C87" s="170" t="inlineStr">
        <is>
          <t>Repriced 2 Aug 2026. Costco sells a 76.5 oz Gatorade canister making ~9 gal, not the 51 oz / 6 gal this assumed. Unit changed to match the real product.</t>
        </is>
      </c>
    </row>
    <row r="88" ht="15.75" customHeight="1" s="171">
      <c r="A88" s="170" t="inlineStr">
        <is>
          <t>Electrolyte mix — $/canister</t>
        </is>
      </c>
      <c r="B88" s="170" t="n">
        <v>14.99</v>
      </c>
      <c r="C88" s="170" t="inlineStr">
        <is>
          <t>Repriced 2 Aug 2026. Gatorade Thirst Quencher powder, 76.5 oz, Costco $14.99 (tracker refreshed 2 Aug 2026). = $1.67/gal. Liquid I.V. sticks were checked and are $5.33/gal — 3.2x worse, and ~1.4x worse even after normalising for their higher sodium. Keep a box as a heat-casualty medical item, not as the bulk line.</t>
        </is>
      </c>
    </row>
    <row r="89" ht="15.75" customHeight="1" s="171">
      <c r="A89" s="170" t="inlineStr">
        <is>
          <t>Tangerine juice — oz/bottle</t>
        </is>
      </c>
      <c r="B89" s="170" t="n">
        <v>59</v>
      </c>
      <c r="C89" s="170" t="inlineStr">
        <is>
          <t>Repriced 2 Aug 2026. Perricone Farms tangerine juice ships as 2 x 59 oz at Costco, so the bottle is 59 oz not 52.</t>
        </is>
      </c>
    </row>
    <row r="90" ht="15.75" customHeight="1" s="171">
      <c r="A90" s="170" t="inlineStr">
        <is>
          <t>Tangerine juice — $/bottle</t>
        </is>
      </c>
      <c r="B90" s="170" t="n">
        <v>4.8</v>
      </c>
      <c r="C90" s="170" t="inlineStr">
        <is>
          <t>Repriced 2 Aug 2026. Perricone Farms 2 x 59 oz, Costco $9.59 = $4.80/bottle ($0.081/oz). STOCK RISK: in stock at only ~63% of warehouses. If unavailable, OJ plus a dose of tangerine/mandarin syrup — straight OJ alone reads noticeably different.</t>
        </is>
      </c>
    </row>
    <row r="91" ht="15.75" customHeight="1" s="171">
      <c r="A91" s="170" t="inlineStr">
        <is>
          <t>Fruit purée squeeze bottle — oz</t>
        </is>
      </c>
      <c r="B91" s="193" t="n">
        <v>16.9</v>
      </c>
    </row>
    <row r="92" ht="15.75" customHeight="1" s="171">
      <c r="A92" s="170" t="inlineStr">
        <is>
          <t>Passion fruit purée — $/bottle</t>
        </is>
      </c>
      <c r="B92" s="222" t="n">
        <v>6.5</v>
      </c>
      <c r="C92" s="174" t="inlineStr">
        <is>
          <t>Repriced 2 Aug 2026. Reàl Passion Fruit Purée Infused Syrup, 16.9 fl oz, WebstaurantStore: $9.59 single, $38.99 per case of 6 = $6.50/bottle. Buy the case — you need several.</t>
        </is>
      </c>
    </row>
    <row r="93" ht="15.75" customHeight="1" s="171">
      <c r="A93" s="170" t="inlineStr">
        <is>
          <t>Pineapple purée — $/bottle</t>
        </is>
      </c>
      <c r="B93" s="222" t="n">
        <v>7.25</v>
      </c>
      <c r="C93" s="174" t="inlineStr">
        <is>
          <t>Repriced 2 Aug 2026. Reàl Pineapple, 16.9 fl oz, WebstaurantStore $43.49 per case of 6 = $7.25. No longer an estimate.</t>
        </is>
      </c>
    </row>
    <row r="94" ht="15.75" customHeight="1" s="171"/>
    <row r="95" ht="15.75" customHeight="1" s="171">
      <c r="A95" s="192" t="inlineStr">
        <is>
          <t>KOMBUCHA MULE BUILD — extras itemized</t>
        </is>
      </c>
    </row>
    <row r="96" ht="15.75" customHeight="1" s="171">
      <c r="A96" s="170" t="inlineStr">
        <is>
          <t>Ginger beer — oz/can</t>
        </is>
      </c>
      <c r="B96" s="170" t="n">
        <v>12</v>
      </c>
      <c r="C96" s="170" t="inlineStr">
        <is>
          <t>12oz can/bottle.</t>
        </is>
      </c>
    </row>
    <row r="97" ht="15.75" customHeight="1" s="171">
      <c r="A97" s="170" t="inlineStr">
        <is>
          <t>Ginger beer — $/can</t>
        </is>
      </c>
      <c r="B97" s="170" t="n">
        <v>1.7</v>
      </c>
      <c r="C97" s="170" t="inlineStr">
        <is>
          <t>Repriced 2 Aug 2026. RAISED for availability, not price. Costco Bundaberg 12 x 12.7 oz is $1.14/can — but it is OUT OF STOCK at 93% of warehouses (16 of 400). The reliably-available format is Cock'n Bull 12 oz 4-packs at $6.99 = $1.75/can, $1.63 at 6+. Costed at the format you can actually buy. Ring Costco Reno first; if Bundaberg is in, this line drops by about a third across all three ginger beer pools.</t>
        </is>
      </c>
    </row>
    <row r="98" ht="15.75" customHeight="1" s="171">
      <c r="A98" s="170" t="inlineStr">
        <is>
          <t>Kombucha Mule — simple syrup oz/serving — RETIRED (agave, B131)</t>
        </is>
      </c>
      <c r="B98" s="170" t="n">
        <v>0</v>
      </c>
      <c r="C98" s="170" t="inlineStr">
        <is>
          <t>Zeroed when agave replaced the sugar in the SCOBY Mule build. Set back above 0 to revive it.</t>
        </is>
      </c>
    </row>
    <row r="99" ht="15.75" customHeight="1" s="171">
      <c r="A99" s="170" t="inlineStr">
        <is>
          <t>Lemon — juice yield oz/lemon</t>
        </is>
      </c>
      <c r="B99" s="170" t="n">
        <v>1.5</v>
      </c>
      <c r="C99" s="170" t="inlineStr">
        <is>
          <t>~1.5oz juice from an average lemon.</t>
        </is>
      </c>
    </row>
    <row r="100" ht="15.75" customHeight="1" s="171">
      <c r="A100" s="170" t="inlineStr">
        <is>
          <t>Lemon — $/each</t>
        </is>
      </c>
      <c r="B100" s="193" t="n">
        <v>0.29</v>
      </c>
      <c r="C100" s="170" t="inlineStr">
        <is>
          <t>Repriced 2 Aug 2026. Costco lemons 5 lb $4.49 current / $6.52 avg, ~20-23 per bag.</t>
        </is>
      </c>
    </row>
    <row r="101" ht="15.75" customHeight="1" s="171"/>
    <row r="102" ht="15.75" customHeight="1" s="171">
      <c r="A102" s="192" t="inlineStr">
        <is>
          <t>MICHELADA &amp; TANG DYNASTY BUILDS — extras itemized</t>
        </is>
      </c>
    </row>
    <row r="103" ht="15.75" customHeight="1" s="171">
      <c r="A103" s="170" t="inlineStr">
        <is>
          <t>Clamato — oz/bottle</t>
        </is>
      </c>
      <c r="B103" s="170" t="n">
        <v>64</v>
      </c>
      <c r="C103" s="170" t="inlineStr">
        <is>
          <t>Large bottle.</t>
        </is>
      </c>
    </row>
    <row r="104" ht="15.75" customHeight="1" s="171">
      <c r="A104" s="170" t="inlineStr">
        <is>
          <t>Clamato — $/bottle</t>
        </is>
      </c>
      <c r="B104" s="193" t="n">
        <v>3.25</v>
      </c>
      <c r="C104" s="170" t="inlineStr">
        <is>
          <t>Repriced 2 Aug 2026. Clamato 2 x 64 oz, Costco warehouse $5.99-6.49. Buy in warehouse — Costco.com lists $10.99 for the same pack.</t>
        </is>
      </c>
    </row>
    <row r="105" ht="15.75" customHeight="1" s="171">
      <c r="A105" s="170" t="inlineStr">
        <is>
          <t>Michelada — hot sauce oz/serving — RETIRED 18 Aug 2026</t>
        </is>
      </c>
      <c r="B105" s="170" t="n">
        <v>0</v>
      </c>
      <c r="C105" s="170" t="inlineStr">
        <is>
          <t>RETIRED — Michelada dropped separate hot sauce when it moved to Tres Agaves Bloody Mary Mix (already spiced). This was hot sauce's only use in the model, so Other Consumables row 41 and Purchase List row 33 now correctly read $0.</t>
        </is>
      </c>
    </row>
    <row r="106" ht="15.75" customHeight="1" s="171">
      <c r="A106" s="170" t="inlineStr">
        <is>
          <t>Hot sauce — oz/bottle</t>
        </is>
      </c>
      <c r="B106" s="170" t="n">
        <v>12</v>
      </c>
    </row>
    <row r="107" ht="15.75" customHeight="1" s="171">
      <c r="A107" s="170" t="inlineStr">
        <is>
          <t>Hot sauce — $/bottle</t>
        </is>
      </c>
      <c r="B107" s="170" t="n">
        <v>1.75</v>
      </c>
      <c r="C107" s="170" t="inlineStr">
        <is>
          <t>Repriced 2 Aug 2026. Valentina 12.5 oz, Walmart $1.68. Tapatío 10 oz is $3.14 — Valentina is the buy.</t>
        </is>
      </c>
    </row>
    <row r="108" ht="15.75" customHeight="1" s="171">
      <c r="A108" s="170" t="inlineStr">
        <is>
          <t>Tajin rim — oz/serving</t>
        </is>
      </c>
      <c r="B108" s="170" t="n">
        <v>0.1</v>
      </c>
      <c r="C108" s="170" t="inlineStr">
        <is>
          <t>~2g per rim. Applies to every rimmed drink: Michelada, A Ginger's Pickle, Catboy Piss and Shirley Temple of Doom (Other Consumables B42).</t>
        </is>
      </c>
    </row>
    <row r="109" ht="15.75" customHeight="1" s="171">
      <c r="A109" s="170" t="inlineStr">
        <is>
          <t>Tajin — oz/shaker</t>
        </is>
      </c>
      <c r="B109" s="170" t="n">
        <v>5</v>
      </c>
    </row>
    <row r="110" ht="15.75" customHeight="1" s="171">
      <c r="A110" s="170" t="inlineStr">
        <is>
          <t>Tajin — $/shaker</t>
        </is>
      </c>
      <c r="B110" s="170" t="n">
        <v>4.68</v>
      </c>
      <c r="C110" s="170" t="inlineStr">
        <is>
          <t>Repriced 2 Aug 2026. Tajín Clásico 5 oz, Walmart $4.68.</t>
        </is>
      </c>
    </row>
    <row r="111" ht="15.75" customHeight="1" s="171">
      <c r="A111" s="170" t="inlineStr">
        <is>
          <t>Lime — juice yield oz/lime</t>
        </is>
      </c>
      <c r="B111" s="170" t="n">
        <v>1</v>
      </c>
      <c r="C111" s="170" t="inlineStr">
        <is>
          <t>~1oz juice from an average lime.</t>
        </is>
      </c>
    </row>
    <row r="112" ht="15.75" customHeight="1" s="171">
      <c r="A112" s="170" t="inlineStr">
        <is>
          <t>Lime — $/each</t>
        </is>
      </c>
      <c r="B112" s="193" t="n">
        <v>0.32</v>
      </c>
      <c r="C112" s="170" t="inlineStr">
        <is>
          <t>Repriced 2 Aug 2026. Costco limes 3 lb $3.49 current / $5.17 avg, ~16 per bag. Lime prices are up 6.1% over 60 days. WORTH CHASING: a 40 lb / 200-lime case is ~$42 at Chef'Store Reno = $0.21 each, saving roughly $15 across the ~113 limes. Costco stocks the case at only 23 warehouses.</t>
        </is>
      </c>
    </row>
    <row r="113" ht="15.75" customHeight="1" s="171">
      <c r="A113" s="170" t="inlineStr">
        <is>
          <t>Tang Dynasty — lime squeeze oz/serving</t>
        </is>
      </c>
      <c r="B113" s="170" t="n">
        <v>0.5</v>
      </c>
      <c r="C113" s="170" t="inlineStr">
        <is>
          <t>The Recipes row 3 ingredient slots are full (tangerine juice + passion fruit puree), so the lime squeeze is sized from this input instead.</t>
        </is>
      </c>
    </row>
    <row r="114" ht="15.75" customHeight="1" s="171">
      <c r="A114" s="192" t="inlineStr">
        <is>
          <t>DAILY JUG — derived from B68</t>
        </is>
      </c>
    </row>
    <row r="115" ht="15.75" customHeight="1" s="171">
      <c r="A115" s="170" t="inlineStr">
        <is>
          <t>Daily jug size (oz)</t>
        </is>
      </c>
      <c r="B115" s="223">
        <f>B68*33.814</f>
        <v/>
      </c>
      <c r="C115" s="170" t="inlineStr">
        <is>
          <t>1 L = 33.814 fl oz.</t>
        </is>
      </c>
    </row>
    <row r="116" ht="15.75" customHeight="1" s="171">
      <c r="A116" s="170" t="inlineStr">
        <is>
          <t>Jug serving size (oz)</t>
        </is>
      </c>
      <c r="B116" s="223" t="n">
        <v>10</v>
      </c>
      <c r="C116" s="170" t="inlineStr">
        <is>
          <t>Pour size for the nightly special.</t>
        </is>
      </c>
    </row>
    <row r="117" ht="15.75" customHeight="1" s="171">
      <c r="A117" s="170" t="inlineStr">
        <is>
          <t>Servings per jug</t>
        </is>
      </c>
      <c r="B117" s="197">
        <f>FLOOR(B115/B116,1)</f>
        <v/>
      </c>
      <c r="C117" s="170" t="inlineStr">
        <is>
          <t>Drives 'Jug Recipes' E4:E15 — one batch per night Sun-Sat, except Wednesday (E7), which is a 3-jug/99-serving batch for the next-door party overflow.</t>
        </is>
      </c>
    </row>
    <row r="118" ht="15.75" customHeight="1" s="171">
      <c r="A118" s="170" t="inlineStr">
        <is>
          <t>Catboy Café — passion fruit purée oz/serving</t>
        </is>
      </c>
      <c r="B118" s="170" t="n">
        <v>0.5</v>
      </c>
      <c r="C118" s="170" t="inlineStr">
        <is>
          <t>Added to the built Catboy Café Green Tea. Orange syrup (0.5oz) and sakura syrup (0.5oz) are per-serving amounts on Recipes row 13 (Syrup A / Syrup B). OJ was dropped from the build 21 Aug 2026.</t>
        </is>
      </c>
    </row>
    <row r="119" ht="15.75" customHeight="1" s="171">
      <c r="A119" s="192" t="inlineStr">
        <is>
          <t>POUR SIZING</t>
        </is>
      </c>
    </row>
    <row r="120" ht="15.75" customHeight="1" s="171">
      <c r="A120" s="170" t="inlineStr">
        <is>
          <t>Pour size (oz)</t>
        </is>
      </c>
      <c r="B120" s="170" t="n">
        <v>8</v>
      </c>
      <c r="C120" s="170" t="inlineStr">
        <is>
          <t>Playa pours — smaller cup, more servings per keg, less waste when someone wanders off.</t>
        </is>
      </c>
    </row>
    <row r="121" ht="15.75" customHeight="1" s="171">
      <c r="A121" s="170" t="inlineStr">
        <is>
          <t>Loss allowance (oz/unit) — ZEROED</t>
        </is>
      </c>
      <c r="B121" s="193" t="n">
        <v>0</v>
      </c>
      <c r="C121" s="174" t="inlineStr">
        <is>
          <t>ZEROED. This was 40 oz of foam and line loss on a real keg. Bottles and cans have neither, so it no longer applies and servings-per-unit goes from 75 to 80. That reclaims 23 servings across the straight-pour lines. Waste is still covered — the 5% open-container buffer on 'Packaged Prices' B15 handles part-finished cans.</t>
        </is>
      </c>
    </row>
    <row r="122" ht="15.75" customHeight="1" s="171">
      <c r="A122" s="170" t="inlineStr">
        <is>
          <t>Cucumber — oz/each</t>
        </is>
      </c>
      <c r="B122" s="170" t="n">
        <v>10</v>
      </c>
      <c r="C122" s="170" t="inlineStr">
        <is>
          <t>Standard slicing cucumber. No longer used per-drink — Fuzz Test has no cucumber in it. This only sizes garnish and ice cubes now; the count is on B215.</t>
        </is>
      </c>
    </row>
    <row r="123" ht="15.75" customHeight="1" s="171">
      <c r="A123" s="170" t="inlineStr">
        <is>
          <t>Cucumber — $/each</t>
        </is>
      </c>
      <c r="B123" s="170" t="n">
        <v>1.2</v>
      </c>
      <c r="C123" s="170" t="inlineStr">
        <is>
          <t>Repriced 2 Aug 2026. Costco English hothouse cucumbers 3-ct $2.79-4.99.</t>
        </is>
      </c>
    </row>
    <row r="124" ht="15.75" customHeight="1" s="171">
      <c r="A124" s="170" t="inlineStr">
        <is>
          <t>Dried hibiscus — oz/serving (Red Flag)</t>
        </is>
      </c>
      <c r="B124" s="170" t="n">
        <v>0.08500000000000001</v>
      </c>
      <c r="C124" s="170" t="inlineStr">
        <is>
          <t>~2.8 oz of dried flowers per 10 L jug. Steep hot and cool, or cold-steep overnight.</t>
        </is>
      </c>
    </row>
    <row r="125" ht="15.75" customHeight="1" s="171">
      <c r="A125" s="170" t="inlineStr">
        <is>
          <t>Dried hibiscus — oz/bag</t>
        </is>
      </c>
      <c r="B125" s="170" t="n">
        <v>16</v>
      </c>
    </row>
    <row r="126" ht="15.75" customHeight="1" s="171">
      <c r="A126" s="170" t="inlineStr">
        <is>
          <t>Dried hibiscus — $/lb bag</t>
        </is>
      </c>
      <c r="B126" s="170" t="n">
        <v>14</v>
      </c>
      <c r="C126" s="170" t="inlineStr">
        <is>
          <t>Repriced 2 Aug 2026. Sabor Orgánico dried hibiscus 1 lb, Amazon $14.95.</t>
        </is>
      </c>
    </row>
    <row r="127" ht="15.75" customHeight="1" s="171">
      <c r="A127" s="192" t="inlineStr">
        <is>
          <t>SCOBY-DEW — ADDED INGREDIENTS</t>
        </is>
      </c>
    </row>
    <row r="128" ht="15.75" customHeight="1" s="171">
      <c r="A128" s="170" t="inlineStr">
        <is>
          <t>Apple cider vinegar — oz/serving</t>
        </is>
      </c>
      <c r="B128" s="170" t="n">
        <v>0.25</v>
      </c>
      <c r="C128" s="170" t="inlineStr">
        <is>
          <t>Raw/unfiltered. Sharp — start here and taste.</t>
        </is>
      </c>
    </row>
    <row r="129" ht="15.75" customHeight="1" s="171">
      <c r="A129" s="170" t="inlineStr">
        <is>
          <t>Apple cider vinegar — oz/bottle</t>
        </is>
      </c>
      <c r="B129" s="170" t="n">
        <v>32</v>
      </c>
    </row>
    <row r="130" ht="15.75" customHeight="1" s="171">
      <c r="A130" s="170" t="inlineStr">
        <is>
          <t>Apple cider vinegar — $/bottle</t>
        </is>
      </c>
      <c r="B130" s="170" t="n">
        <v>6.17</v>
      </c>
      <c r="C130" s="170" t="inlineStr">
        <is>
          <t>Repriced 2 Aug 2026. Bragg Organic ACV with the Mother, 32 oz, Walmart $6.17.</t>
        </is>
      </c>
    </row>
    <row r="131" ht="15.75" customHeight="1" s="171">
      <c r="A131" s="170" t="inlineStr">
        <is>
          <t>Agave syrup — oz/serving</t>
        </is>
      </c>
      <c r="B131" s="170" t="n">
        <v>0.25</v>
      </c>
      <c r="C131" s="170" t="inlineStr">
        <is>
          <t>Sweetener for the SCOBY Mule build — this replaced the 0.25 oz of simple syrup that used to be in it (B98, now zeroed). Slightly sweeter than the original; drop to ~0.17 to match exactly. NOTE: these notes said 'SCOBY-Dew' until 11 Aug 2026, but the formula has always read recipe row 11, which is the SCOBY Mule. The label was wrong, not the arithmetic.</t>
        </is>
      </c>
    </row>
    <row r="132" ht="15.75" customHeight="1" s="171">
      <c r="A132" s="170" t="inlineStr">
        <is>
          <t>Agave syrup — oz/bottle</t>
        </is>
      </c>
      <c r="B132" s="193" t="n">
        <v>36</v>
      </c>
    </row>
    <row r="133" ht="15.75" customHeight="1" s="171">
      <c r="A133" s="170" t="inlineStr">
        <is>
          <t>Agave syrup — $/bottle</t>
        </is>
      </c>
      <c r="B133" s="193" t="n">
        <v>4.75</v>
      </c>
    </row>
    <row r="134" ht="15.75" customHeight="1" s="171">
      <c r="A134" s="192" t="inlineStr">
        <is>
          <t>CAMP DRINKS (not bar service)</t>
        </is>
      </c>
    </row>
    <row r="135" ht="15.75" customHeight="1" s="171">
      <c r="A135" s="170" t="inlineStr">
        <is>
          <t>Winter melon tea — gallons to make</t>
        </is>
      </c>
      <c r="B135" s="170" t="n">
        <v>5</v>
      </c>
      <c r="C135" s="170" t="inlineStr">
        <is>
          <t>Sour plum drink; smoked plum + hawthorn + licorice.</t>
        </is>
      </c>
    </row>
    <row r="136" ht="15.75" customHeight="1" s="171">
      <c r="A136" s="170" t="inlineStr">
        <is>
          <t>Winter melon tea — gallons per block</t>
        </is>
      </c>
      <c r="B136" s="170" t="n">
        <v>1.3</v>
      </c>
      <c r="C136" s="170" t="inlineStr">
        <is>
          <t>REPLACED 18 Aug 2026 (was Suan mei tang, 0.53 gal/packet). Researched, not a checked receipt: standard home prep dissolves one winter-melon tea block (~580-600 g brick, e.g. the Weee! Winter Melon Tea Brick) in ~5000 ml (~1.3 gal) of water, per multiple recipe sources. Confirm against the actual product's own package instructions once bought — block sizes vary (300 g bags to 600 g bricks) and this changes the gal/block figure directly.</t>
        </is>
      </c>
    </row>
    <row r="137" ht="15.75" customHeight="1" s="171">
      <c r="A137" s="170" t="inlineStr">
        <is>
          <t>Winter melon tea — $/block</t>
        </is>
      </c>
      <c r="B137" s="170" t="n">
        <v>6.5</v>
      </c>
      <c r="C137" s="170" t="inlineStr">
        <is>
          <t>REPLACED 18 Aug 2026 (was Suan mei tang, $6/packet). Researched, not a checked receipt: comparable winter melon tea bricks run about $4.59 (Yami, 20.28 oz, sold out at time of checking) to $8-13 (Amazon multi-brick bags). Using $6.50 as a middle estimate — replace with the receipt price once a specific listing is bought.</t>
        </is>
      </c>
    </row>
    <row r="138" ht="15.75" customHeight="1" s="171">
      <c r="A138" s="170" t="inlineStr">
        <is>
          <t>Mugicha — gallons to make</t>
        </is>
      </c>
      <c r="B138" s="170" t="n">
        <v>5</v>
      </c>
      <c r="C138" s="170" t="inlineStr">
        <is>
          <t>Roasted barley tea, served ice cold, unsweetened.</t>
        </is>
      </c>
    </row>
    <row r="139" ht="15.75" customHeight="1" s="171">
      <c r="A139" s="170" t="inlineStr">
        <is>
          <t>Mugicha — teabags per gallon</t>
        </is>
      </c>
      <c r="B139" s="170" t="n">
        <v>4</v>
      </c>
      <c r="C139" s="170" t="inlineStr">
        <is>
          <t>~1 bag per litre.</t>
        </is>
      </c>
    </row>
    <row r="140" ht="15.75" customHeight="1" s="171">
      <c r="A140" s="170" t="inlineStr">
        <is>
          <t>Mugicha — teabags per box</t>
        </is>
      </c>
      <c r="B140" s="170" t="n">
        <v>54</v>
      </c>
    </row>
    <row r="141" ht="15.75" customHeight="1" s="171">
      <c r="A141" s="170" t="inlineStr">
        <is>
          <t>Mugicha — $/box</t>
        </is>
      </c>
      <c r="B141" s="170" t="n">
        <v>7</v>
      </c>
      <c r="C141" s="170" t="inlineStr">
        <is>
          <t>Repriced 2 Aug 2026. Ito En mugicha 54 sachets, H Mart $5.99 / Yami $5.99-7.99.</t>
        </is>
      </c>
    </row>
    <row r="142" ht="15.75" customHeight="1" s="171">
      <c r="A142" s="170" t="inlineStr">
        <is>
          <t>Lapsang souchong — oz/serving (dry leaf)</t>
        </is>
      </c>
      <c r="B142" s="170" t="n">
        <v>0.06</v>
      </c>
      <c r="C142" s="170" t="inlineStr">
        <is>
          <t>~2 oz of dry leaf per 10 L jug. Steep STRONG then cut with lemonade.</t>
        </is>
      </c>
    </row>
    <row r="143" ht="15.75" customHeight="1" s="171">
      <c r="A143" s="170" t="inlineStr">
        <is>
          <t>Lapsang souchong — oz/bag</t>
        </is>
      </c>
      <c r="B143" s="170" t="n">
        <v>4</v>
      </c>
    </row>
    <row r="144" ht="15.75" customHeight="1" s="171">
      <c r="A144" s="170" t="inlineStr">
        <is>
          <t>Lapsang souchong — $/bag</t>
        </is>
      </c>
      <c r="B144" s="170" t="n">
        <v>11</v>
      </c>
      <c r="C144" s="170" t="inlineStr">
        <is>
          <t>Repriced 2 Aug 2026. Upton Tea Formosa lapsang ~$10/113 g; English Tea Store 4 oz $12.99.</t>
        </is>
      </c>
    </row>
    <row r="145" ht="15.75" customHeight="1" s="171">
      <c r="A145" s="170" t="inlineStr">
        <is>
          <t>Clear Mind kombucha — old keg $ (BASELINE ONLY)</t>
        </is>
      </c>
      <c r="B145" s="170" t="n">
        <v>130</v>
      </c>
      <c r="C145" s="170" t="inlineStr">
        <is>
          <t>Brew Dr. Clear Mind — rosemary, mint, sage, green tea. Feeds the built Clear Cache.</t>
        </is>
      </c>
    </row>
    <row r="146" ht="15.75" customHeight="1" s="171">
      <c r="A146" s="192" t="inlineStr">
        <is>
          <t>CATBOY SNOT — SATURDAY BUILD (Recipes row 16)</t>
        </is>
      </c>
    </row>
    <row r="147" ht="15.75" customHeight="1" s="171">
      <c r="A147" s="170" t="inlineStr">
        <is>
          <t>Aloe vera juice — oz/serving</t>
        </is>
      </c>
      <c r="B147" s="170" t="n">
        <v>1.5</v>
      </c>
      <c r="C147" s="170" t="inlineStr">
        <is>
          <t>Spooned in WITH the pulp cubes — the cubes are the whole point. Buy DRINKING aloe (inner-fillet, decolorized: OKF Aloe Vera King, Grace, Alo). Whole-leaf/supplement aloe contains aloin and is a laxative — wrong product, bad day. DOSED DOWN 21 Aug 2026 — cut from 2 oz to 1.5 oz.</t>
        </is>
      </c>
    </row>
    <row r="148" ht="15.75" customHeight="1" s="171">
      <c r="A148" s="170" t="inlineStr">
        <is>
          <t>Aloe vera juice — oz/bottle</t>
        </is>
      </c>
      <c r="B148" s="170" t="n">
        <v>50.7</v>
      </c>
      <c r="C148" s="170" t="inlineStr">
        <is>
          <t>1.5 L bottle. Shelf-stable unopened; refrigerate nothing until it is opened.</t>
        </is>
      </c>
    </row>
    <row r="149" ht="15.75" customHeight="1" s="171">
      <c r="A149" s="170" t="inlineStr">
        <is>
          <t>Aloe vera juice — $/bottle</t>
        </is>
      </c>
      <c r="B149" s="170" t="n">
        <v>4.5</v>
      </c>
      <c r="C149" s="170" t="inlineStr">
        <is>
          <t>Repriced 2 Aug 2026. OKF Aloe Vera King 1.5 L, Walmart $5.26, H Mart $2.99. Confirmed the correct product: inner-fillet drinking aloe with gel cubes. OKF also sell a PULP-FREE line — do not buy that one, the cubes are the point.</t>
        </is>
      </c>
    </row>
    <row r="150" ht="15.75" customHeight="1" s="171">
      <c r="A150" s="170" t="inlineStr">
        <is>
          <t>Basil seeds (sabja) — oz/serving — OPTIONAL</t>
        </is>
      </c>
      <c r="B150" s="170" t="n">
        <v>0</v>
      </c>
      <c r="C150" s="170" t="inlineStr">
        <is>
          <t>ZEROED 19 Aug 2026 — dropped from the plan. The aloe pulp already carries the texture in Catboy Snot, and Catboy Piss doesn't use it at all. Purchase List line removed outright rather than kept as a permanent zero.</t>
        </is>
      </c>
    </row>
    <row r="151" ht="15.75" customHeight="1" s="171">
      <c r="A151" s="170" t="inlineStr">
        <is>
          <t>Basil seeds — oz/bag</t>
        </is>
      </c>
      <c r="B151" s="170" t="n">
        <v>3.5</v>
      </c>
      <c r="C151" s="170" t="inlineStr">
        <is>
          <t>100 g bag.</t>
        </is>
      </c>
    </row>
    <row r="152" ht="15.75" customHeight="1" s="171">
      <c r="A152" s="170" t="inlineStr">
        <is>
          <t>Basil seeds — $/bag</t>
        </is>
      </c>
      <c r="B152" s="170" t="n">
        <v>4</v>
      </c>
      <c r="C152" s="170" t="inlineStr">
        <is>
          <t>Repriced 2 Aug 2026. NY Spice Shop basil seeds — buy the 8 oz bag at $6.49, which is $2.86 per 100 g. Costed at $4 per 100 g with headroom.</t>
        </is>
      </c>
    </row>
    <row r="153" ht="15.75" customHeight="1" s="171">
      <c r="A153" s="192" t="inlineStr">
        <is>
          <t>SHIRLEY VARIANTS (Recipes rows 17-18)</t>
        </is>
      </c>
    </row>
    <row r="154" ht="15.75" customHeight="1" s="171">
      <c r="A154" s="170" t="inlineStr">
        <is>
          <t>Shirley Mule — lime squeeze oz/serving</t>
        </is>
      </c>
      <c r="B154" s="170" t="n">
        <v>0.5</v>
      </c>
      <c r="C154" s="170" t="inlineStr">
        <is>
          <t>Recipes row 19's two ingredient slots are full (cherry syrup + ginger beer), so the lime squeeze is sized from this input instead — same pattern as B113 for Tang Dynasty.</t>
        </is>
      </c>
    </row>
    <row r="155" ht="15.75" customHeight="1" s="171"/>
    <row r="156" ht="15.75" customHeight="1" s="171">
      <c r="A156" s="175" t="inlineStr">
        <is>
          <t>PARTIAL-CAN WASTE — the 12 oz can vs the 3-4 oz pour</t>
        </is>
      </c>
    </row>
    <row r="157" ht="15.75" customHeight="1" s="171">
      <c r="A157" s="170" t="inlineStr">
        <is>
          <t>Usable fraction of an opened can</t>
        </is>
      </c>
      <c r="B157" s="224" t="n">
        <v>0.7</v>
      </c>
      <c r="C157" s="174" t="inlineStr">
        <is>
          <t>A can is 12 oz. A dirty soda uses 3-4 oz of base. The model used to assume you get all 12 oz out of every can — i.e. three drinks from one can, every time. On a bar taking random orders across seven different base sodas, in playa heat, you will not: an open can is flat inside half an hour. At 70% you are assuming roughly two useful pours out of every three. Set to 100% to go back to perfect utilisation; drop to 40-50% if service is slow and orders are scattered. THE REAL FIX is 2-litre bottles for the top three bases — see the note on the Base Soda tab.</t>
        </is>
      </c>
    </row>
    <row r="158" ht="15.75" customHeight="1" s="171"/>
    <row r="159" ht="15.75" customHeight="1" s="171">
      <c r="A159" s="175" t="inlineStr">
        <is>
          <t>ITALIAN SODAS — standing menu item, built to order</t>
        </is>
      </c>
    </row>
    <row r="160" ht="15.75" customHeight="1" s="171">
      <c r="A160" s="170" t="inlineStr">
        <is>
          <t>Italian sodas — planned servings</t>
        </is>
      </c>
      <c r="B160" s="193" t="n">
        <v>120</v>
      </c>
      <c r="C160" s="174" t="inlineStr">
        <is>
          <t>A real line on the board, not an afterthought. 120 over the week is ~17 a night — plausible for the drink you point at when someone says 'something not too sweet'. It is the cheapest serving on the bar: syrup plus soda water, no recipe, no prep.</t>
        </is>
      </c>
    </row>
    <row r="161" ht="15.75" customHeight="1" s="171">
      <c r="A161" s="170" t="inlineStr">
        <is>
          <t>Italian soda — soda water oz/serving</t>
        </is>
      </c>
      <c r="B161" s="193" t="n">
        <v>8</v>
      </c>
      <c r="C161" s="174" t="inlineStr">
        <is>
          <t>Over ice, in the standard 8 oz pour.</t>
        </is>
      </c>
    </row>
    <row r="162" ht="15.75" customHeight="1" s="171">
      <c r="A162" s="170" t="inlineStr">
        <is>
          <t>Italian soda — syrup oz/serving</t>
        </is>
      </c>
      <c r="B162" s="193" t="n">
        <v>1</v>
      </c>
      <c r="C162" s="174" t="inlineStr">
        <is>
          <t>One pump-ish. Any Torani already in stock — vanilla, cherry, peach, strawberry, raspberry (added 18 Aug 2026, 1 bottle each already on hand from a variety combo pack), watermelon, lemon, pineapple (all three retired/0 bottles). Melon syrup moved to Boudan (Assumptions B265/B266), not Torani, 18 Aug 2026. This draw is added to the syrup bottle count on 'Other Consumables' row 12.</t>
        </is>
      </c>
    </row>
    <row r="163" ht="15.75" customHeight="1" s="171"/>
    <row r="164" ht="15.75" customHeight="1" s="171">
      <c r="A164" s="175" t="inlineStr">
        <is>
          <t>2-LITRE BOTTLES — for jug batches only</t>
        </is>
      </c>
    </row>
    <row r="165" ht="15.75" customHeight="1" s="171">
      <c r="A165" s="170" t="inlineStr">
        <is>
          <t>2 L bottle size (oz)</t>
        </is>
      </c>
      <c r="B165" s="193" t="n">
        <v>67.59999999999999</v>
      </c>
      <c r="C165" s="174" t="inlineStr">
        <is>
          <t>2 litres = 67.6 fl oz.</t>
        </is>
      </c>
    </row>
    <row r="166" ht="15.75" customHeight="1" s="171">
      <c r="A166" s="170" t="inlineStr">
        <is>
          <t>2 L bottle — $ each</t>
        </is>
      </c>
      <c r="B166" s="222" t="n">
        <v>2.78</v>
      </c>
      <c r="C166" s="174" t="inlineStr">
        <is>
          <t>Repriced 2 Aug 2026. Mountain Dew 2 L, Walmart $2.78.</t>
        </is>
      </c>
    </row>
    <row r="167" ht="15.75" customHeight="1" s="171"/>
    <row r="168" ht="15.75" customHeight="1" s="171">
      <c r="A168" s="175" t="inlineStr">
        <is>
          <t>STIEGL GRAPEFRUIT RADLER — pre-made shandy slot</t>
        </is>
      </c>
    </row>
    <row r="169" ht="15.75" customHeight="1" s="171">
      <c r="A169" s="170" t="inlineStr">
        <is>
          <t>Radler — planned servings</t>
        </is>
      </c>
      <c r="B169" s="225" t="n">
        <v>56</v>
      </c>
      <c r="C169" s="174" t="inlineStr">
        <is>
          <t>Fills the slot the built shandy would have. Zero labour: hand it over as a half pour on ice. NO GARNISH as of 10 Aug 2026 — the grapefruit wedge was dropped, which took 56 wedges off Purchase List row 30.</t>
        </is>
      </c>
    </row>
    <row r="170" ht="15.75" customHeight="1" s="171">
      <c r="A170" s="170" t="inlineStr">
        <is>
          <t>Radler — can size (oz)</t>
        </is>
      </c>
      <c r="B170" s="226" t="n">
        <v>16.9</v>
      </c>
      <c r="C170" s="174" t="inlineStr">
        <is>
          <t>500 ml Austrian can.</t>
        </is>
      </c>
    </row>
    <row r="171" ht="15.75" customHeight="1" s="171">
      <c r="A171" s="170" t="inlineStr">
        <is>
          <t>Radler — servings per can (half pour)</t>
        </is>
      </c>
      <c r="B171" s="225" t="n">
        <v>2</v>
      </c>
      <c r="C171" s="174" t="inlineStr">
        <is>
          <t>HALF POUR — 16.9 oz split into two ~8.4 oz servings, matching the house pour. At 2% ABV this is the most sessionable thing on the bar; a full can as one serving would be generous but halves the serving count.</t>
        </is>
      </c>
    </row>
    <row r="172" ht="15.75" customHeight="1" s="171">
      <c r="A172" s="170" t="inlineStr">
        <is>
          <t>Radler — $ per 4-pack</t>
        </is>
      </c>
      <c r="B172" s="222" t="n">
        <v>9.99</v>
      </c>
      <c r="C172" s="174" t="inlineStr">
        <is>
          <t>Total Wine $11.99, Binny's $7.99 on sale, Liquor World $15.99. Using $9.99. 4 x 16.9 oz cans.</t>
        </is>
      </c>
    </row>
    <row r="173" ht="15.75" customHeight="1" s="171"/>
    <row r="174" ht="15.75" customHeight="1" s="171">
      <c r="A174" s="170" t="inlineStr">
        <is>
          <t>Red Bull — can size (oz)</t>
        </is>
      </c>
      <c r="B174" s="193" t="n">
        <v>8.4</v>
      </c>
      <c r="C174" s="174" t="inlineStr">
        <is>
          <t>Used to work out how many of the 48 cans get drunk by campers and how many are consumed building Catboy Piss (25 servings x 4 oz). FLAVOUR-SPLIT 14 Aug 2026: the 48 are 24 Yellow Edition + 24 Regular. Catboy Piss draws its 12 off the YELLOW; the other 36 are handouts. Can size is the same for both, so this number is unaffected.</t>
        </is>
      </c>
    </row>
    <row r="175" ht="15.75" customHeight="1" s="171"/>
    <row r="176" ht="15.75" customHeight="1" s="171">
      <c r="A176" s="192" t="inlineStr">
        <is>
          <t>CAMP DRINKS — GREEN TEA</t>
        </is>
      </c>
    </row>
    <row r="177" ht="15.75" customHeight="1" s="171">
      <c r="A177" s="170" t="inlineStr">
        <is>
          <t>Green tea — gallons to make</t>
        </is>
      </c>
      <c r="B177" s="170" t="n">
        <v>2</v>
      </c>
      <c r="C177" s="170" t="inlineStr">
        <is>
          <t>Third camp iced tea, cold-steeped and served unsweetened.</t>
        </is>
      </c>
    </row>
    <row r="178" ht="15.75" customHeight="1" s="171">
      <c r="A178" s="170" t="inlineStr">
        <is>
          <t>Green tea — teabags per gallon</t>
        </is>
      </c>
      <c r="B178" s="170" t="n">
        <v>4</v>
      </c>
      <c r="C178" s="170" t="inlineStr">
        <is>
          <t>~1 bag per litre, same as the mugicha.</t>
        </is>
      </c>
    </row>
    <row r="179" ht="15.75" customHeight="1" s="171">
      <c r="A179" s="170" t="inlineStr">
        <is>
          <t>Green tea — teabags per box</t>
        </is>
      </c>
      <c r="B179" s="170" t="n">
        <v>100</v>
      </c>
    </row>
    <row r="180" ht="15.75" customHeight="1" s="171">
      <c r="A180" s="170" t="inlineStr">
        <is>
          <t>Green tea — $/box</t>
        </is>
      </c>
      <c r="B180" s="170" t="n">
        <v>12</v>
      </c>
      <c r="C180" s="170" t="inlineStr">
        <is>
          <t>Repriced 2 Aug 2026. Kirkland Japanese green tea 100-ct, Costco $11.99-13.49. (Lipton Classic 100-ct is $9.99 at WebstaurantStore if you want it cheaper.)</t>
        </is>
      </c>
    </row>
    <row r="181" ht="15.75" customHeight="1" s="171"/>
    <row r="182" ht="15.75" customHeight="1" s="171">
      <c r="A182" s="192" t="inlineStr">
        <is>
          <t>CAMP DRINKS — CANNED</t>
        </is>
      </c>
    </row>
    <row r="183" ht="15.75" customHeight="1" s="171">
      <c r="A183" s="170" t="inlineStr">
        <is>
          <t>Celsius — cans</t>
        </is>
      </c>
      <c r="B183" s="170" t="n">
        <v>48</v>
      </c>
      <c r="C183" s="170" t="inlineStr">
        <is>
          <t>Camper stock, not bar service. Costco 12-packs ~$20 (estimate).</t>
        </is>
      </c>
    </row>
    <row r="184" ht="15.75" customHeight="1" s="171">
      <c r="A184" s="170" t="inlineStr">
        <is>
          <t>Celsius — cans per pack</t>
        </is>
      </c>
      <c r="B184" s="170" t="n">
        <v>18</v>
      </c>
      <c r="C184" s="170" t="inlineStr">
        <is>
          <t>Repriced 2 Aug 2026. Costco does not sell a 12-pack — the warehouse SKU is an 18-count.</t>
        </is>
      </c>
    </row>
    <row r="185" ht="15.75" customHeight="1" s="171">
      <c r="A185" s="170" t="inlineStr">
        <is>
          <t>Celsius — $/pack</t>
        </is>
      </c>
      <c r="B185" s="170" t="n">
        <v>24</v>
      </c>
      <c r="C185" s="170" t="inlineStr">
        <is>
          <t>Repriced 2 Aug 2026. Celsius 18-count, Costco ~$24 = $1.33/can. The old $20/12-pack was grocery pricing ($19-20 at Walmart), which is the wrong shop for this trip.</t>
        </is>
      </c>
    </row>
    <row r="186" ht="15.75" customHeight="1" s="171">
      <c r="A186" s="170" t="inlineStr">
        <is>
          <t>White Claw (or equivalent) — cans</t>
        </is>
      </c>
      <c r="B186" s="170" t="n">
        <v>120</v>
      </c>
      <c r="C186" s="170" t="inlineStr">
        <is>
          <t>Or any equivalent hard seltzer. 12-packs ~$18 (estimate).</t>
        </is>
      </c>
    </row>
    <row r="187" ht="15.75" customHeight="1" s="171">
      <c r="A187" s="170" t="inlineStr">
        <is>
          <t>White Claw — cans per pack</t>
        </is>
      </c>
      <c r="B187" s="170" t="n">
        <v>24</v>
      </c>
      <c r="C187" s="170" t="inlineStr">
        <is>
          <t>Repriced 2 Aug 2026. Buy the 24-pack. The Costco 12-pack SKU is nearly gone (in stock at 1 of 7 reporting warehouses) and is dearer per can anyway.</t>
        </is>
      </c>
    </row>
    <row r="188" ht="15.75" customHeight="1" s="171">
      <c r="A188" s="170" t="inlineStr">
        <is>
          <t>White Claw — $/pack</t>
        </is>
      </c>
      <c r="B188" s="170" t="n">
        <v>30.49</v>
      </c>
      <c r="C188" s="170" t="inlineStr">
        <is>
          <t>Repriced 2 Aug 2026. White Claw 24-pack, Costco $28.74 avg, $30.49-31.59 at CA warehouses = $1.27/can vs $1.42 for the 12-pack. Grocery (Walmart $19.00, Albertsons $18.99 per 12) is the expensive path.</t>
        </is>
      </c>
    </row>
    <row r="189" ht="15.75" customHeight="1" s="171">
      <c r="A189" s="170" t="inlineStr">
        <is>
          <t>Spindrift — cans</t>
        </is>
      </c>
      <c r="B189" s="170" t="n">
        <v>96</v>
      </c>
      <c r="C189" s="170" t="inlineStr">
        <is>
          <t>Sparkling water with real juice. 24-packs ~$20 (estimate).</t>
        </is>
      </c>
    </row>
    <row r="190" ht="15.75" customHeight="1" s="171">
      <c r="A190" s="170" t="inlineStr">
        <is>
          <t>Spindrift — cans per pack</t>
        </is>
      </c>
      <c r="B190" s="170" t="n">
        <v>30</v>
      </c>
      <c r="C190" s="170" t="inlineStr">
        <is>
          <t>Repriced 2 Aug 2026. Costco's Spindrift SKU is a 30-count variety (10 lemon / 10 lime / 10 grapefruit), not 24.</t>
        </is>
      </c>
    </row>
    <row r="191" ht="15.75" customHeight="1" s="171">
      <c r="A191" s="170" t="inlineStr">
        <is>
          <t>Spindrift — $/pack</t>
        </is>
      </c>
      <c r="B191" s="170" t="n">
        <v>21.49</v>
      </c>
      <c r="C191" s="170" t="inlineStr">
        <is>
          <t>Repriced 2 Aug 2026. Spindrift 30-count, Costco $21.49 regular, $19.22 avg, as low as $14.49 = $0.64/can vs the $0.833 this used to assume.</t>
        </is>
      </c>
    </row>
    <row r="192" ht="15.75" customHeight="1" s="171"/>
    <row r="193" ht="15.75" customHeight="1" s="171">
      <c r="A193" s="175" t="inlineStr">
        <is>
          <t>CAMP TANGERINE JUICE — rationed treat</t>
        </is>
      </c>
    </row>
    <row r="194" ht="15.75" customHeight="1" s="171">
      <c r="A194" s="170" t="inlineStr">
        <is>
          <t>Tangerine juice — camp ration (quarts)</t>
        </is>
      </c>
      <c r="B194" s="225" t="n">
        <v>4</v>
      </c>
      <c r="C194" s="174" t="inlineStr">
        <is>
          <t>Four quarts is 128 oz — roughly 13 servings at 10 oz, or 16 at the house 8 oz pour. Against eight days that is not a supply, it is a treat. Raise it if you want it to actually last.</t>
        </is>
      </c>
    </row>
    <row r="195" ht="15.75" customHeight="1" s="171">
      <c r="A195" s="170" t="inlineStr">
        <is>
          <t>Tangerine juice — oz per quart</t>
        </is>
      </c>
      <c r="B195" s="225" t="n">
        <v>32</v>
      </c>
      <c r="C195" s="174" t="inlineStr">
        <is>
          <t>A US quart is 32 fl oz.</t>
        </is>
      </c>
    </row>
    <row r="196" ht="15.75" customHeight="1" s="171">
      <c r="A196" s="170" t="inlineStr">
        <is>
          <t>Tangerine juice — $ per quart</t>
        </is>
      </c>
      <c r="B196" s="222" t="n">
        <v>6.5</v>
      </c>
      <c r="C196" s="174" t="inlineStr">
        <is>
          <t>Repriced 2 Aug 2026. Natalie's Orchid Island tangerine, 32 oz, $5.99-9.99 — reached Reno via Smith's after the April 2026 Kroger national launch. The old $3.50 is not achievable for tangerine. CHEAPER ALTERNATIVE: decant from the Costco 59 oz bottles above at $0.081/oz and drop this line entirely.</t>
        </is>
      </c>
    </row>
    <row r="197" ht="15.75" customHeight="1" s="171"/>
    <row r="198" ht="15.75" customHeight="1" s="171">
      <c r="A198" s="192" t="inlineStr">
        <is>
          <t>CAMP DRINKS — GINGER BEER (camper stock)</t>
        </is>
      </c>
    </row>
    <row r="199" ht="15.75" customHeight="1" s="171">
      <c r="A199" s="170" t="inlineStr">
        <is>
          <t>Ginger beer (camp) — cans</t>
        </is>
      </c>
      <c r="B199" s="225" t="n">
        <v>24</v>
      </c>
      <c r="C199" s="174" t="inlineStr">
        <is>
          <t>Camper stock in the cooler, NOT bar service. This is on top of the cans the Kombucha Mule build consumes ('Other Consumables' row 36) and on top of the 24-can mixer buffer on 'Bar Add-Ons' row 9 — three separate pools, three separate lines, so nobody raids the bar's stock.</t>
        </is>
      </c>
    </row>
    <row r="200" ht="15.75" customHeight="1" s="171">
      <c r="A200" s="170" t="inlineStr">
        <is>
          <t>Ginger beer (camp) — cans per pack</t>
        </is>
      </c>
      <c r="B200" s="225" t="n">
        <v>24</v>
      </c>
      <c r="C200" s="174" t="inlineStr">
        <is>
          <t>Bought by the case for camp stock. Drop to 4 if only 4-packs (Bundaberg) are on the shelf — the pack count rounds up either way.</t>
        </is>
      </c>
    </row>
    <row r="201" ht="15.75" customHeight="1" s="171">
      <c r="A201" s="170" t="inlineStr">
        <is>
          <t>Ginger beer (camp) — $/pack</t>
        </is>
      </c>
      <c r="B201" s="227">
        <f>B200*B97</f>
        <v/>
      </c>
      <c r="C201" s="174" t="inlineStr">
        <is>
          <t>DERIVED — pack size x the ginger beer can price already in the model (B97, $1.25/can). Kept derived so there is one ginger beer price, not two.</t>
        </is>
      </c>
    </row>
    <row r="202" ht="15.75" customHeight="1" s="171"/>
    <row r="203" ht="15.75" customHeight="1" s="171">
      <c r="A203" s="192" t="inlineStr">
        <is>
          <t>CAMP DRINKS — COFFEE CREAMER</t>
        </is>
      </c>
    </row>
    <row r="204" ht="15.75" customHeight="1" s="171">
      <c r="A204" s="170" t="inlineStr">
        <is>
          <t>Coffee creamer — units (DAIRY PORTION ONLY)</t>
        </is>
      </c>
      <c r="B204" s="225" t="n">
        <v>4</v>
      </c>
      <c r="C204" s="174" t="inlineStr">
        <is>
          <t>RESCOPED 18 Aug 2026 — was 12 (4 dairy + 8 non-dairy). The 8 non-dairy bottles were never actually sourced (only the 4 dairy Starbucks Caramel Macchiato bottles on Purchase List row 43 were bought); Rice Dream Horchata now fills that gap on Purchase List row 46 instead — dairy-free, vegan, and already the 32 oz format this line assumed. Kept at 4 so row 43 matches what's actually been ordered.</t>
        </is>
      </c>
    </row>
    <row r="205" ht="15.75" customHeight="1" s="171">
      <c r="A205" s="170" t="inlineStr">
        <is>
          <t>Coffee creamer — $/unit</t>
        </is>
      </c>
      <c r="B205" s="222" t="n">
        <v>3.79</v>
      </c>
      <c r="C205" s="174" t="inlineStr">
        <is>
          <t>RESCOPED 18 Aug 2026 to dairy-only pricing (was $4.15 blended across dairy+non-dairy). Coffee-mate 32 oz $3.79 at Costco — see the original note this cell already carried.</t>
        </is>
      </c>
    </row>
    <row r="206" ht="15.75" customHeight="1" s="171"/>
    <row r="207" ht="15.75" customHeight="1" s="171">
      <c r="A207" s="192" t="inlineStr">
        <is>
          <t>PICKLE BRINE — A Ginger's Pickle + brine shots</t>
        </is>
      </c>
    </row>
    <row r="208" ht="15.75" customHeight="1" s="171">
      <c r="A208" s="170" t="inlineStr">
        <is>
          <t>Pickle juice — oz/serving — SUPERSEDED, now derived</t>
        </is>
      </c>
      <c r="B208" s="228" t="n">
        <v>0.5</v>
      </c>
      <c r="C208" s="174" t="inlineStr">
        <is>
          <t>SUPERSEDED 10 Aug 2026. The pickle juice moved out of the garnish column and into the recipe grid proper ('Dirty Soda - Built Drinks' row 8, Syrup A = "Pickle Juice") at 1 oz a serving, so 'Other Consumables' row 50 now reads it off the recipe like every other ingredient. NOTHING READS THIS CELL any more — same pattern as the guava purée on B231. Left in place as history; change the recipe, not this.</t>
        </is>
      </c>
    </row>
    <row r="209" ht="15.75" customHeight="1" s="171">
      <c r="A209" s="170" t="inlineStr">
        <is>
          <t>Pickle brine shots — planned</t>
        </is>
      </c>
      <c r="B209" s="228" t="n">
        <v>30</v>
      </c>
      <c r="C209" s="174" t="inlineStr">
        <is>
          <t>Brine shots are a standing menu-board item (Menu Board / Service Availability), and they drink the SAME jars as the dirty soda. They were costed at zero and sized at nothing. ~4 a day over the week; change this and the jar count follows.</t>
        </is>
      </c>
    </row>
    <row r="210" ht="15.75" customHeight="1" s="171">
      <c r="A210" s="170" t="inlineStr">
        <is>
          <t>Pickle brine shot — oz each</t>
        </is>
      </c>
      <c r="B210" s="228" t="n">
        <v>1.5</v>
      </c>
      <c r="C210" s="174" t="inlineStr">
        <is>
          <t>A shot glass. Three shots drink more brine than six dirty sodas do.</t>
        </is>
      </c>
    </row>
    <row r="211" ht="15.75" customHeight="1" s="171">
      <c r="A211" s="170" t="inlineStr">
        <is>
          <t>Pickle brine — usable oz per 32oz jar</t>
        </is>
      </c>
      <c r="B211" s="228" t="n">
        <v>115</v>
      </c>
      <c r="C211" s="174" t="inlineStr">
        <is>
          <t>Repriced 2 Aug 2026. RESTRUCTURED to a 128 oz GALLON spear jar, which drains ~110-120 oz of brine. Six 32 oz jars yielded ~84 oz for twice the money.</t>
        </is>
      </c>
    </row>
    <row r="212" ht="15.75" customHeight="1" s="171">
      <c r="A212" s="170" t="inlineStr">
        <is>
          <t>Pickles — $/jar</t>
        </is>
      </c>
      <c r="B212" s="222" t="n">
        <v>7.5</v>
      </c>
      <c r="C212" s="174" t="inlineStr">
        <is>
          <t>Repriced 2 Aug 2026. Mt. Olive kosher dill spears, 128 oz gallon jar, Walmart ~$7-8 = ~$0.13 per oz of brine against $0.357 for the old six-jar plan. Best Maid Dill Juice sells brine straight but the only listing found was a $21.89 marketplace seller — worse. (If you would rather buy small jars: Vlasic 32 oz is $2.99 each at Smith's when buying 5+.)</t>
        </is>
      </c>
    </row>
    <row r="213" ht="15.75" customHeight="1" s="171"/>
    <row r="214" ht="15.75" customHeight="1" s="171">
      <c r="A214" s="192" t="inlineStr">
        <is>
          <t>CUCUMBER — GARNISH / ICE CUBES ONLY</t>
        </is>
      </c>
    </row>
    <row r="215" ht="15.75" customHeight="1" s="171">
      <c r="A215" s="170" t="inlineStr">
        <is>
          <t>Cucumbers — whole, for garnish &amp; cubes</t>
        </is>
      </c>
      <c r="B215" s="225" t="n">
        <v>0</v>
      </c>
      <c r="C215" s="170" t="inlineStr">
        <is>
          <t>SET THIS IF YOU MAKE CUBES. Cucumber stopped being a build ingredient when Thirst Trap became Fuzz Test, so nothing derives a cucumber count any more. Zero by default because the mint-cucumber cubes are an experiment, not a plan. One cucumber is ~10 oz, roughly 2-3 slices per drink if you go back to garnishing with it.</t>
        </is>
      </c>
    </row>
    <row r="216" ht="15.75" customHeight="1" s="171"/>
    <row r="217" ht="15.75" customHeight="1" s="171">
      <c r="A217" s="192" t="inlineStr">
        <is>
          <t>WATERMELON JUICE — Watermelon Sugar High (replaces the watermelon syrup)</t>
        </is>
      </c>
    </row>
    <row r="218" ht="15.75" customHeight="1" s="171">
      <c r="A218" s="170" t="inlineStr">
        <is>
          <t>Watermelon juice — oz/carton</t>
        </is>
      </c>
      <c r="B218" s="225" t="n">
        <v>33.8</v>
      </c>
      <c r="C218" s="170" t="inlineStr">
        <is>
          <t>A 1 L carton. 100% watermelon juice, not a cocktail mix and not the whole melons. If Reno only has the 59 oz bottles, put 59 here and the shelf price on B219 — the buy quantity re-rounds itself.</t>
        </is>
      </c>
    </row>
    <row r="219" ht="15.75" customHeight="1" s="171">
      <c r="A219" s="170" t="inlineStr">
        <is>
          <t>Watermelon juice — $/carton</t>
        </is>
      </c>
      <c r="B219" s="225" t="n">
        <v>4.99</v>
      </c>
      <c r="C219" s="170" t="inlineStr">
        <is>
          <t>ESTIMATE, not a checked listing — the only line in this workbook that is. See the note at the bottom of ‘Ingredient Pricing’. 1 L of 100% watermelon juice generally sits at $4-6.</t>
        </is>
      </c>
    </row>
    <row r="220" ht="15.75" customHeight="1" s="171"/>
    <row r="221" ht="15.75" customHeight="1" s="171">
      <c r="A221" s="192" t="inlineStr">
        <is>
          <t>TEQUILA BUILDS — Rawhide (Ranch Water) + Localhost (Margarita)</t>
        </is>
      </c>
    </row>
    <row r="222" ht="15.75" customHeight="1" s="171">
      <c r="A222" s="170" t="inlineStr">
        <is>
          <t>Liquor uptake — tequila-forward builds</t>
        </is>
      </c>
      <c r="B222" s="225" t="n">
        <v>1</v>
      </c>
      <c r="C222" s="170" t="inlineStr">
        <is>
          <t>NOT the 35% on B39. A margarita is not a margarita without the tequila, and a ranch water is not a ranch water, so these two size at 100%. *** THIS IS THE ONE PLACE THE MENU AND THE MODEL DISAGREE ON PURPOSE. *** As of 11 Aug 2026 Localhost is printed in the built-to-order block and Rawhide in the LESS SWEET block, so neither sits in a section that flags it as a tequila build — but both are still costed here at a full 1.5 oz on every single serving. That is deliberate and it is the conservative direction: it over-buys tequila rather than under-buys it. Both have honest non-alcoholic versions from stock on hand, and every NA pour drops this number in practice — dial it to 0.8 if you think a fifth of them go out dry.</t>
        </is>
      </c>
    </row>
    <row r="223" ht="15.75" customHeight="1" s="171">
      <c r="A223" s="170" t="inlineStr">
        <is>
          <t>Localhost — dried hibiscus oz/serving — SUPERSEDED, drink no longer uses it</t>
        </is>
      </c>
      <c r="B223" s="225" t="n">
        <v>0</v>
      </c>
      <c r="C223" s="170" t="inlineStr">
        <is>
          <t>SUPERSEDED 11 Aug 2026. Localhost became a standard margarita and dropped the cold-steeped hibiscus entirely. Zeroed rather than deleted because 'Jug Recipes' B29 still reads this cell — setting it back to 0.09 restores the hibiscus margarita and the flower count follows on its own. THE 1.8 oz THIS RELEASED WENT TO THE DAILY TEA: spare flower in the 1 lb bag goes from 8.59 oz to 10.39, which is roughly 7 gallons of jamaica instead of 6.</t>
        </is>
      </c>
    </row>
    <row r="224" ht="15.75" customHeight="1" s="171">
      <c r="A224" s="170" t="inlineStr">
        <is>
          <t>Localhost — agave oz/serving (OPTIONAL, to taste)</t>
        </is>
      </c>
      <c r="B224" s="225" t="n">
        <v>0.5</v>
      </c>
      <c r="C224" s="170" t="inlineStr">
        <is>
          <t>Sized from here rather than the recipe grid because the row's ingredient slots are full — same pattern as B113 for Tang Dynasty and B154 for the Shirley Mule. OPTIONAL AS OF 11 Aug 2026: the margarita mixer added that day is already sweetened with agave, so this goes in to taste, not by rule. Left at the full 0.5 oz so the model buys for the sweetest version of the build — set it to 0 if the mixer turns out to carry the drink on its own.</t>
        </is>
      </c>
    </row>
    <row r="225" ht="15.75" customHeight="1" s="171"/>
    <row r="226" ht="15.75" customHeight="1" s="171">
      <c r="A226" s="192" t="inlineStr">
        <is>
          <t>LEMON — THE FRESH / BOTTLED SPLIT</t>
        </is>
      </c>
    </row>
    <row r="227" ht="15.75" customHeight="1" s="171">
      <c r="A227" s="170" t="inlineStr">
        <is>
          <t>Lemon juice (bottled) — oz/bottle</t>
        </is>
      </c>
      <c r="B227" s="225" t="n">
        <v>48</v>
      </c>
      <c r="C227" s="170" t="inlineStr">
        <is>
          <t>UPDATED 14 Aug 2026 — 48 oz confirmed bought (ReaLemon 48 oz 2-count), which is exactly what this cell always said to do: "if you find lemon in 48 oz put 48 here and the buy re-rounds itself from 2 bottles to 1." It has re-rounded. The two jugs need 33 oz raw / 38 oz buffered, so ONE 48 oz bottle covers both; a pair was bought, so there is a full spare bottle.</t>
        </is>
      </c>
    </row>
    <row r="228" ht="15.75" customHeight="1" s="171">
      <c r="A228" s="170" t="inlineStr">
        <is>
          <t>Lemon juice (bottled) — $/bottle</t>
        </is>
      </c>
      <c r="B228" s="225" t="n">
        <v>4.29</v>
      </c>
      <c r="C228" s="170" t="inlineStr">
        <is>
          <t>*** PRICE NOT UPDATED FOR THE 48 OZ BOTTLE — still the BevMo 32 oz figure of $4.29. Replace with the ReaLemon 2-count receipt price (per bottle). *** Original basis: $4.29 / 32 oz = $0.134 per oz, against $0.193 per oz for fresh (B100 / B99). Bottled is both cheaper and 25 lemons of squeezing lighter — which is why the two batch jugs moved onto it and the per-drink squeezes did not.</t>
        </is>
      </c>
    </row>
    <row r="229" ht="15.75" customHeight="1" s="171"/>
    <row r="230" ht="15.75" customHeight="1" s="171">
      <c r="A230" s="192" t="inlineStr">
        <is>
          <t>GUAVA PURÉE — OPTIONAL, NOT IN ANY RECIPE YET</t>
        </is>
      </c>
    </row>
    <row r="231" ht="15.75" customHeight="1" s="171">
      <c r="A231" s="170" t="inlineStr">
        <is>
          <t>Guava purée — bottles to buy — SUPERSEDED, now derived</t>
        </is>
      </c>
      <c r="B231" s="225" t="n">
        <v>1</v>
      </c>
      <c r="C231" s="170" t="inlineStr">
        <is>
          <t>SUPERSEDED 8 Aug 2026. The guava stopped being a maybe and became a real drink (Guavascript, Dirty Soda - Built Drinks row 23), so the bottle count is now derived from the recipe on 'Other Consumables' row 54 like every other purée. This cell is no longer read by anything. To kill the drink, zero its servings on the recipe row instead.</t>
        </is>
      </c>
    </row>
    <row r="232" ht="15.75" customHeight="1" s="171">
      <c r="A232" s="170" t="inlineStr">
        <is>
          <t>Guava Syrup (Torani) — $/bottle</t>
        </is>
      </c>
      <c r="B232" s="225" t="n">
        <v>11</v>
      </c>
      <c r="C232" s="170" t="inlineStr">
        <is>
          <t>*** UPDATED 19 Aug 2026, UNCHECKED ESTIMATE — was $8.19 (Reàl purée). *** Torani Guava only sells as a 3-pack on Amazon; $11/bottle is a placeholder in line with other specialty Torani flavors (Cherry Blossom ran $17.48/bottle, standard flavors $6.50-7.25/bottle in multipacks) — replace with the real 3-pack price once ordered.</t>
        </is>
      </c>
    </row>
    <row r="233" ht="15.75" customHeight="1" s="171"/>
    <row r="234" ht="15.75" customHeight="1" s="171">
      <c r="A234" s="192" t="inlineStr">
        <is>
          <t>MIXER FORMAT — 1 L BOTTLES (bar service)</t>
        </is>
      </c>
    </row>
    <row r="235" ht="15.75" customHeight="1" s="171">
      <c r="A235" s="170" t="inlineStr">
        <is>
          <t>1 L bottle size (oz)</t>
        </is>
      </c>
      <c r="B235" s="225" t="n">
        <v>33.814</v>
      </c>
      <c r="C235" s="170" t="inlineStr">
        <is>
          <t>1 litre = 33.814 fl oz. The bar-service format for soda water and tonic.</t>
        </is>
      </c>
    </row>
    <row r="236" ht="15.75" customHeight="1" s="171">
      <c r="A236" s="170" t="inlineStr">
        <is>
          <t>Soda water — $/1 L bottle</t>
        </is>
      </c>
      <c r="B236" s="225" t="n">
        <v>1.35</v>
      </c>
      <c r="C236" s="170" t="inlineStr">
        <is>
          <t>*** ESTIMATE, NOT A CHECKED LISTING. *** Store-brand and Schweppes/Canada Dry 1 L club soda generally sits at $1.00-1.79 in Reno grocery. $1.35 is the middle. VERIFY ON THE SHOP RUN — this is now the format for all 59 bottles, so it is the second-biggest unchecked number in the model after the watermelon juice on B219. Replaces the $13/35-can case on B22.</t>
        </is>
      </c>
    </row>
    <row r="237" ht="15.75" customHeight="1" s="171">
      <c r="A237" s="170" t="inlineStr">
        <is>
          <t>Tonic water — $/1 L bottle</t>
        </is>
      </c>
      <c r="B237" s="225" t="n">
        <v>1.5</v>
      </c>
      <c r="C237" s="170" t="inlineStr">
        <is>
          <t>*** ESTIMATE, NOT A CHECKED LISTING. *** Schweppes / Canada Dry 1 L tonic typically $1.29-1.99. Small line (9 bottles) so the exposure is about $5 either way.</t>
        </is>
      </c>
    </row>
    <row r="238" ht="15.75" customHeight="1" s="171">
      <c r="A238" s="170" t="inlineStr">
        <is>
          <t>1 L bottle — usable fraction</t>
        </is>
      </c>
      <c r="B238" s="225" t="n">
        <v>0.9</v>
      </c>
      <c r="C238" s="170" t="inlineStr">
        <is>
          <t>The 1 L answer to the can-waste figure on B157. A screw-cap bottle recaps and holds pressure, so it does NOT lose the 30% an opened can does — but the last pours off a bottle that has been opened and closed all night are flatter than the first, and some gets tipped. 0.9 is the honest middle. Set to 1 if you plan to finish a bottle once it is open; that drops soda water from 59 bottles to 53.</t>
        </is>
      </c>
    </row>
    <row r="239" ht="15.75" customHeight="1" s="171"/>
    <row r="240" ht="15.75" customHeight="1" s="171">
      <c r="A240" s="192" t="inlineStr">
        <is>
          <t>PALOMA MIXER — Guavascript build</t>
        </is>
      </c>
    </row>
    <row r="241" ht="15.75" customHeight="1" s="171">
      <c r="A241" s="170" t="inlineStr">
        <is>
          <t>Paloma mixer — oz/bottle</t>
        </is>
      </c>
      <c r="B241" s="225" t="n">
        <v>33.8</v>
      </c>
      <c r="C241" s="170" t="inlineStr">
        <is>
          <t>REVERTED 18 Aug 2026 — the actual Amazon cart shows "Tres Agaves Organic Grapefruit Paloma Mix ... Size: 33.8 Fl Oz (Pack of 2)": the earlier '750 ml' read came from the listing's title text, but the product's own size field says 33.8 oz (1 L) — the same format this was originally scouted at BevMo. Trusting the cart's size field.</t>
        </is>
      </c>
    </row>
    <row r="242" ht="15.75" customHeight="1" s="171">
      <c r="A242" s="170" t="inlineStr">
        <is>
          <t>Paloma mixer — $/bottle</t>
        </is>
      </c>
      <c r="B242" s="225" t="n">
        <v>16.25</v>
      </c>
      <c r="C242" s="170" t="inlineStr">
        <is>
          <t>UPDATED 18 Aug 2026 — real cart price $32.49 for the 2-pack = $16.25/bottle.</t>
        </is>
      </c>
    </row>
    <row r="243" ht="15.75" customHeight="1" s="171"/>
    <row r="244" ht="15.75" customHeight="1" s="171">
      <c r="A244" s="192" t="inlineStr">
        <is>
          <t>YUZU JUICE — Clear Cache</t>
        </is>
      </c>
    </row>
    <row r="245" ht="15.75" customHeight="1" s="171">
      <c r="A245" s="170" t="inlineStr">
        <is>
          <t>Yuzu juice — oz/bottle</t>
        </is>
      </c>
      <c r="B245" s="225" t="n">
        <v>13</v>
      </c>
      <c r="C245" s="170" t="inlineStr">
        <is>
          <t>13 fl oz bottle. ONE BOTTLE COVERS 26 SERVINGS at the 0.5 oz in the recipe; the SCOBY Mule and Clear Cache together are 50 servings / 25 oz, so two bottles carry the week with 1 oz spare. That is why 'Other Consumables' D56 sizes off the raw requirement instead of the buffered one — see the note there. Drop either drink's servings and it stays 2 bottles; raise them past 52 and it goes to 3.</t>
        </is>
      </c>
    </row>
    <row r="246" ht="15.75" customHeight="1" s="171">
      <c r="A246" s="170" t="inlineStr">
        <is>
          <t>Yuzu juice — $/bottle</t>
        </is>
      </c>
      <c r="B246" s="225" t="n">
        <v>20</v>
      </c>
      <c r="C246" s="170" t="inlineStr">
        <is>
          <t>$1.54/oz — BY A DISTANCE THE MOST EXPENSIVE LIQUID ON THE BAR: 3x the guava purée ($0.48/oz), 5x the paloma mixer ($0.305/oz), and 8x the fresh lemon it replaced ($0.193/oz). At 0.5 oz a serving that is $0.77 of yuzu in every Clear Cache, against about $0.30 of total ingredient in a typical canned-base build. Bought on flavour, not on price.</t>
        </is>
      </c>
    </row>
    <row r="247" ht="15.75" customHeight="1" s="171"/>
    <row r="248" ht="15.75" customHeight="1" s="171">
      <c r="A248" s="192" t="inlineStr">
        <is>
          <t>MARGARITA MIXER — Localhost build</t>
        </is>
      </c>
    </row>
    <row r="249" ht="15.75" customHeight="1" s="171">
      <c r="A249" s="170" t="inlineStr">
        <is>
          <t>Margarita mixer — oz/bottle</t>
        </is>
      </c>
      <c r="B249" s="225" t="n">
        <v>33.8</v>
      </c>
      <c r="C249" s="170" t="inlineStr">
        <is>
          <t>REVERTED 18 Aug 2026 — same fix as the Paloma mix (B241): the real cart shows "Tres Agaves Organic Lime Margarita Mix ... 33.8 Fl Oz (Pack of 2)", 1 L format.</t>
        </is>
      </c>
    </row>
    <row r="250" ht="15.75" customHeight="1" s="171">
      <c r="A250" s="170" t="inlineStr">
        <is>
          <t>Margarita mixer — $/bottle</t>
        </is>
      </c>
      <c r="B250" s="225" t="n">
        <v>16.24</v>
      </c>
      <c r="C250" s="170" t="inlineStr">
        <is>
          <t>UPDATED 18 Aug 2026 — real cart price $32.48 for the 2-pack = $16.24/bottle.</t>
        </is>
      </c>
    </row>
    <row r="251" ht="15.75" customHeight="1" s="171"/>
    <row r="252" ht="15.75" customHeight="1" s="171">
      <c r="A252" s="192" t="inlineStr">
        <is>
          <t>STANDING ICED TEA — "Daily Tea", the LESS SWEET rotation</t>
        </is>
      </c>
    </row>
    <row r="253" ht="15.75" customHeight="1" s="171">
      <c r="A253" s="170" t="inlineStr">
        <is>
          <t>Daily Tea — gallons on hand at a time</t>
        </is>
      </c>
      <c r="B253" s="225" t="n">
        <v>1.5</v>
      </c>
      <c r="C253" s="170" t="inlineStr">
        <is>
          <t>Deliberately small. Brewing big batches is the pain in playa conditions, so this is sized to be re-steeped every day or two rather than made once and babysat. ~24 servings at the 8 oz house pour. Cold-steep overnight alongside whatever the jug needs — no boiling, no fuel.</t>
        </is>
      </c>
    </row>
    <row r="254" ht="15.75" customHeight="1" s="171">
      <c r="A254" s="170" t="inlineStr">
        <is>
          <t>Daily Tea — batches across the week</t>
        </is>
      </c>
      <c r="B254" s="225" t="n">
        <v>5</v>
      </c>
      <c r="C254" s="170"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t>
        </is>
      </c>
    </row>
    <row r="255" ht="15.75" customHeight="1" s="171">
      <c r="A255" s="170" t="inlineStr">
        <is>
          <t>Daily Tea — extra cost</t>
        </is>
      </c>
      <c r="B255" s="225" t="n">
        <v>0</v>
      </c>
      <c r="C255" s="170" t="inlineStr">
        <is>
          <t>ZERO, AND THAT IS THE POINT. All three teas run on slack already paid for: GREEN TEA ~73 spare bags of the 100-bag camp box (camp uses 8, the two peach-tea jugs 19) = ~18 gal of headroom against ~3 needed. JAMAICA 10.39 oz of spare flower in the 1 lb bag — only the Red Flag jug draws on it now that Localhost dropped hibiscus on 11 Aug 2026 — = ~7 gal against ~3 needed. LAPSANG 2.02 oz spare in the 4 oz bag (1.98 to the Smoke Test) = ~2 gal, which is exactly ONE batch; that is why lapsang appears once in the rotation and not twice. If you want it more often, that is the one line to buy a second bag of.</t>
        </is>
      </c>
    </row>
    <row r="256" ht="15.75" customHeight="1" s="171"/>
    <row r="257" ht="15.75" customHeight="1" s="171">
      <c r="A257" s="192" t="inlineStr">
        <is>
          <t>CAMP DRINKS — MOUNTAIN DEW (camper stock)</t>
        </is>
      </c>
    </row>
    <row r="258" ht="15.75" customHeight="1" s="171">
      <c r="A258" s="170" t="inlineStr">
        <is>
          <t>Mountain Dew (camp) — cans</t>
        </is>
      </c>
      <c r="B258" s="225" t="n">
        <v>24</v>
      </c>
      <c r="C258" s="170" t="inlineStr">
        <is>
          <t>Camper stock, added 11 Aug 2026 alongside retiring SCOBY-Dew. *** THIS IS NOW THE ONLY MOUNTAIN DEW ON THE TRUCK: *** the base-soda Dew line was sized entirely by SCOBY-Dew and falls to zero cans with it. So the 'ask if they want it dirty' modifier pours out of THIS pool. 24 cans is camper-generous for drinking and leaves room for the odd splash; if the modifier actually catches on at the bar, give the bar its own line rather than letting it drink the campers' — the same three-pool logic the ginger beer already uses (B199 camp / 'Bar Add-Ons' row 9 mixer buffer / the SCOBY Mule build).</t>
        </is>
      </c>
    </row>
    <row r="259" ht="15.75" customHeight="1" s="171">
      <c r="A259" s="170" t="inlineStr">
        <is>
          <t>Mountain Dew (camp) — cans per pack</t>
        </is>
      </c>
      <c r="B259" s="225" t="n">
        <v>12</v>
      </c>
      <c r="C259" s="170" t="inlineStr">
        <is>
          <t>12-pack. Drop to 24 if that is what the shop has; the pack count rounds up either way.</t>
        </is>
      </c>
    </row>
    <row r="260" ht="15.75" customHeight="1" s="171">
      <c r="A260" s="170" t="inlineStr">
        <is>
          <t>Mountain Dew (camp) — $/pack</t>
        </is>
      </c>
      <c r="B260" s="225">
        <f>B259*(B16/B6)</f>
        <v/>
      </c>
      <c r="C260" s="170" t="inlineStr">
        <is>
          <t>DERIVED — pack size x the per-can base-soda price already in the model (B16/B6, $16 per 35-can case = $0.457/can). Kept derived so there is one soda price, not two, exactly as the ginger beer does on B201.</t>
        </is>
      </c>
    </row>
    <row r="261" ht="15.75" customHeight="1" s="171"/>
    <row r="262" ht="15.75" customHeight="1" s="171">
      <c r="A262" s="170" t="inlineStr">
        <is>
          <t>GREEN TEA — BOTTLED vs COLD-STEEPED SPLIT</t>
        </is>
      </c>
    </row>
    <row r="263" ht="15.75" customHeight="1" s="171">
      <c r="A263" s="170" t="inlineStr">
        <is>
          <t>Green tea — oz covered by cold-steeped tea (not bottled)</t>
        </is>
      </c>
      <c r="B263" s="170" t="n">
        <v>128</v>
      </c>
      <c r="C263" s="170" t="inlineStr">
        <is>
          <t>ADDED 14 Aug 2026 so the bottled buy lands on 2 packs instead of 3. The green tea line needs 508 oz (47 Green Tea Refreshers x 8 oz + 33 Sakura Kisses x 4 oz). 3 x 12-packs covers it; 2 packs is 405.6 oz and falls 128 oz short. THAT 128 OZ IS EXACTLY ONE GALLON OF COLD-STEEPED TEA — 16 Refreshers — and it costs nothing extra: at 4 teabags/gallon (B178) it is 4 more bags out of the 100-bag box already bought on Purchase List row 62, which the camp dispenser only uses 8 of. SERVINGS ARE UNCHANGED — all 80 green tea servings still exist; 16 of them are just made from steeped tea rather than poured from a bottle. Set this to 0 to go back to a 3-pack buy.</t>
        </is>
      </c>
    </row>
    <row r="264" ht="15.75" customHeight="1" s="171"/>
    <row r="265" ht="15.75" customHeight="1" s="171">
      <c r="A265" s="170" t="inlineStr">
        <is>
          <t>Boudan Melon Syrup — oz/bottle</t>
        </is>
      </c>
      <c r="B265" s="170" t="n">
        <v>21.3</v>
      </c>
      <c r="C265" s="170" t="inlineStr">
        <is>
          <t>ADDED 18 Aug 2026 — Marjan Boudan Melon Syrup, confirmed real and on Amazon (ASIN B005QBH1QY). Replaces generic Torani green melon, which isn't sold on Amazon at all.</t>
        </is>
      </c>
    </row>
    <row r="266" ht="15.75" customHeight="1" s="171">
      <c r="A266" s="170" t="inlineStr">
        <is>
          <t>Boudan Melon Syrup — $/bottle</t>
        </is>
      </c>
      <c r="B266" s="170" t="n">
        <v>10</v>
      </c>
      <c r="C266" s="170" t="inlineStr">
        <is>
          <t>*** UNCHECKED ESTIMATE — Amazon's price wasn't readable via search. *** Comparable imported syrup bottles this size typically run $8-14; using $10 as a midpoint. Replace with the checkout price.</t>
        </is>
      </c>
    </row>
    <row r="267" ht="15.75" customHeight="1" s="171"/>
    <row r="268" ht="15.75" customHeight="1" s="171">
      <c r="A268" s="170" t="inlineStr">
        <is>
          <t>Bloody Mary Mix — oz/bottle</t>
        </is>
      </c>
      <c r="B268" s="170" t="n">
        <v>25.4</v>
      </c>
      <c r="C268" s="170" t="inlineStr">
        <is>
          <t>ADDED 18 Aug 2026. Tres Agaves Organic Bloody Mary Mix, 750 ml, confirmed real and on Amazon.</t>
        </is>
      </c>
    </row>
    <row r="269" ht="15.75" customHeight="1" s="171">
      <c r="A269" s="170" t="inlineStr">
        <is>
          <t>Bloody Mary Mix — $/bottle</t>
        </is>
      </c>
      <c r="B269" s="170" t="n">
        <v>10</v>
      </c>
      <c r="C269" s="170" t="inlineStr">
        <is>
          <t>*** UNCHECKED ESTIMATE — Amazon's price wasn't readable via search. *** Using the same $10/bottle placeholder as the Paloma and Margarita mixes (B242/B250) — same brand, same 750 ml format. Replace with the checkout price; it likely ships 2-pack like its siblings.</t>
        </is>
      </c>
    </row>
    <row r="270" ht="15.75" customHeight="1" s="171">
      <c r="A270" s="170" t="inlineStr">
        <is>
          <t>Guava Syrup (Torani) — oz/bottle</t>
        </is>
      </c>
      <c r="B270" s="170" t="n">
        <v>25.4</v>
      </c>
      <c r="C270" s="170" t="inlineStr">
        <is>
          <t>ADDED 19 Aug 2026. Torani 750ml format, same bottle size as the other Torani flavors (Assumptions B8).</t>
        </is>
      </c>
    </row>
    <row r="271" ht="15.75" customHeight="1" s="171"/>
    <row r="272" ht="15.75" customHeight="1" s="171">
      <c r="A272" s="170" t="inlineStr">
        <is>
          <t>SECRET PARTY — off-menu, camp-mate request (21 Aug 2026)</t>
        </is>
      </c>
    </row>
    <row r="273" ht="15.75" customHeight="1" s="171">
      <c r="A273" s="170" t="inlineStr">
        <is>
          <t>Vodka — handles</t>
        </is>
      </c>
      <c r="B273" s="170" t="n">
        <v>10</v>
      </c>
      <c r="C273" s="170" t="inlineStr">
        <is>
          <t>Off-menu ask from a camp mate for a private/secret party — separate from the Saturday Catboy Café reveal. Keep it off the standing board and the Menu Board; a separate menu is being built just for this event (Service Availability section 6, Start Here hard rule).</t>
        </is>
      </c>
    </row>
    <row r="274" ht="15.75" customHeight="1" s="171">
      <c r="A274" s="170" t="inlineStr">
        <is>
          <t>Vodka — oz/handle (1.75 L)</t>
        </is>
      </c>
      <c r="B274" s="170">
        <f>1.75*33.814</f>
        <v/>
      </c>
      <c r="C274" s="170" t="inlineStr">
        <is>
          <t>1.75 L handle. 1 L = 33.814 fl oz, same conversion as B115.</t>
        </is>
      </c>
    </row>
    <row r="275" ht="15.75" customHeight="1" s="171">
      <c r="A275" s="170" t="inlineStr">
        <is>
          <t>Vodka — $/handle</t>
        </is>
      </c>
      <c r="B275" s="170" t="n">
        <v>24</v>
      </c>
      <c r="C275" s="170" t="inlineStr">
        <is>
          <t>UNCHECKED ESTIMATE — typical 1.75 L well vodka (Svedka/Smirnoff tier). Replace with the receipt price once bought.</t>
        </is>
      </c>
    </row>
    <row r="276" ht="15.75" customHeight="1" s="171">
      <c r="A276" s="170" t="inlineStr">
        <is>
          <t>Vodka — total oz on hand</t>
        </is>
      </c>
      <c r="B276" s="170">
        <f>B273*B274</f>
        <v/>
      </c>
    </row>
    <row r="277" ht="15.75" customHeight="1" s="171">
      <c r="A277" s="170" t="inlineStr">
        <is>
          <t>Vodka — mandatory pour uptake (this block only)</t>
        </is>
      </c>
      <c r="B277" s="170" t="n">
        <v>1</v>
      </c>
      <c r="C277" s="170" t="inlineStr">
        <is>
          <t>Same pattern as B222 for the tequila-forward builds — vodka is the entire point of this off-menu block, so it sizes at 100%, not the 35% on B39.</t>
        </is>
      </c>
    </row>
    <row r="278" ht="15.75" customHeight="1" s="171">
      <c r="A278" s="170" t="inlineStr">
        <is>
          <t>Vodka — servings capacity at standard pour</t>
        </is>
      </c>
      <c r="B278" s="170">
        <f>FLOOR(B276/(B277*B40),1)</f>
        <v/>
      </c>
      <c r="C278" s="170" t="inlineStr">
        <is>
          <t>B40 is the standard 1.5 oz pour used everywhere else on the bar. This is the ceiling if every ounce gets poured — actual buy-sizing below uses the split (B279:B284), not this number directly.</t>
        </is>
      </c>
    </row>
    <row r="279" ht="15.75" customHeight="1" s="171">
      <c r="A279" s="170" t="inlineStr">
        <is>
          <t>Split — Vodka shot (straight, no mixer)</t>
        </is>
      </c>
      <c r="B279" s="170" t="n">
        <v>0.25</v>
      </c>
    </row>
    <row r="280" ht="15.75" customHeight="1" s="171">
      <c r="A280" s="170" t="inlineStr">
        <is>
          <t>Split — Vodka Cranberry</t>
        </is>
      </c>
      <c r="B280" s="170" t="n">
        <v>0.25</v>
      </c>
    </row>
    <row r="281" ht="15.75" customHeight="1" s="171">
      <c r="A281" s="170" t="inlineStr">
        <is>
          <t>Split — Screwdriver (Vodka OJ)</t>
        </is>
      </c>
      <c r="B281" s="170" t="n">
        <v>0.25</v>
      </c>
    </row>
    <row r="282" ht="15.75" customHeight="1" s="171">
      <c r="A282" s="170" t="inlineStr">
        <is>
          <t>Split — Vodka Red Bull</t>
        </is>
      </c>
      <c r="B282" s="170" t="n">
        <v>0.1</v>
      </c>
    </row>
    <row r="283" ht="15.75" customHeight="1" s="171">
      <c r="A283" s="170" t="inlineStr">
        <is>
          <t>Split — Vodka Lemonade</t>
        </is>
      </c>
      <c r="B283" s="170" t="n">
        <v>0.1</v>
      </c>
    </row>
    <row r="284" ht="15.75" customHeight="1" s="171">
      <c r="A284" s="170" t="inlineStr">
        <is>
          <t>Split — Vodka Soda</t>
        </is>
      </c>
      <c r="B284" s="170" t="n">
        <v>0.05</v>
      </c>
      <c r="C284" s="170" t="inlineStr">
        <is>
          <t>Splits are your 21 Aug 2026 call, applied against the full 10-handle capacity (B278).</t>
        </is>
      </c>
    </row>
    <row r="285" ht="15.75" customHeight="1" s="171">
      <c r="A285" s="170" t="inlineStr">
        <is>
          <t>Split — check (should read 100%)</t>
        </is>
      </c>
      <c r="B285" s="170">
        <f>SUM(B279:B284)</f>
        <v/>
      </c>
    </row>
    <row r="286" ht="15.75" customHeight="1" s="171">
      <c r="A286" s="170" t="inlineStr">
        <is>
          <t>Servings — Vodka shot</t>
        </is>
      </c>
      <c r="B286" s="170">
        <f>ROUND($B$278*B279,0)</f>
        <v/>
      </c>
    </row>
    <row r="287" ht="15.75" customHeight="1" s="171">
      <c r="A287" s="170" t="inlineStr">
        <is>
          <t>Servings — Vodka Cranberry</t>
        </is>
      </c>
      <c r="B287" s="170">
        <f>ROUND($B$278*B280,0)</f>
        <v/>
      </c>
    </row>
    <row r="288" ht="15.75" customHeight="1" s="171">
      <c r="A288" s="170" t="inlineStr">
        <is>
          <t>Servings — Screwdriver</t>
        </is>
      </c>
      <c r="B288" s="170">
        <f>ROUND($B$278*B281,0)</f>
        <v/>
      </c>
    </row>
    <row r="289" ht="15.75" customHeight="1" s="171">
      <c r="A289" s="170" t="inlineStr">
        <is>
          <t>Servings — Vodka Red Bull</t>
        </is>
      </c>
      <c r="B289" s="170">
        <f>ROUND($B$278*B282,0)</f>
        <v/>
      </c>
    </row>
    <row r="290" ht="15.75" customHeight="1" s="171">
      <c r="A290" s="170" t="inlineStr">
        <is>
          <t>Servings — Vodka Lemonade</t>
        </is>
      </c>
      <c r="B290" s="170">
        <f>ROUND($B$278*B283,0)</f>
        <v/>
      </c>
    </row>
    <row r="291" ht="15.75" customHeight="1" s="171">
      <c r="A291" s="170" t="inlineStr">
        <is>
          <t>Servings — Vodka Soda</t>
        </is>
      </c>
      <c r="B291" s="170">
        <f>ROUND($B$278*B284,0)</f>
        <v/>
      </c>
    </row>
    <row r="292" ht="15.75" customHeight="1" s="171">
      <c r="A292" s="170" t="inlineStr">
        <is>
          <t>NOTE — Red Bull / Lemonade / Tonic draw</t>
        </is>
      </c>
      <c r="C292" s="170" t="inlineStr">
        <is>
          <t>UPDATED 21 Aug 2026 — Vodka Red Bull and Vodka Lemonade now carry their OWN added purchase (see B300-B305 below and Bar Add-Ons row 14 / Other Consumables B19), because the existing buffer was judged too tight for this party. Vodka Soda is the one that still just draws off existing stock — soda water is assumed sufficient as-is, no extra purchase added.</t>
        </is>
      </c>
    </row>
    <row r="293" ht="15.75" customHeight="1" s="171">
      <c r="A293" s="170" t="inlineStr">
        <is>
          <t>Cranberry juice — oz/serving (Vodka Cranberry)</t>
        </is>
      </c>
      <c r="B293" s="170" t="n">
        <v>4</v>
      </c>
      <c r="C293" s="170" t="inlineStr">
        <is>
          <t>Standard 4oz mixer pour, same ratio as the house Screwdriver-style builds (mixer + 1.5oz liquor).</t>
        </is>
      </c>
    </row>
    <row r="294" ht="15.75" customHeight="1" s="171">
      <c r="A294" s="170" t="inlineStr">
        <is>
          <t>OJ — oz/serving (Screwdriver)</t>
        </is>
      </c>
      <c r="B294" s="170" t="n">
        <v>4</v>
      </c>
      <c r="C294" s="170" t="inlineStr">
        <is>
          <t>Same 4oz mixer convention; priced off the existing OJ carton line (B69/B70) rather than a new SKU.</t>
        </is>
      </c>
    </row>
    <row r="295" ht="15.75" customHeight="1" s="171">
      <c r="A295" s="170" t="inlineStr">
        <is>
          <t>Cranberry juice — oz/bottle</t>
        </is>
      </c>
      <c r="B295" s="170" t="n">
        <v>64</v>
      </c>
      <c r="C295" s="170" t="inlineStr">
        <is>
          <t>UNCHECKED ESTIMATE — standard 64oz cranberry juice cocktail jug (e.g. Ocean Spray). Confirm at checkout.</t>
        </is>
      </c>
    </row>
    <row r="296" ht="15.75" customHeight="1" s="171">
      <c r="A296" s="170" t="inlineStr">
        <is>
          <t>Cranberry juice — $/bottle</t>
        </is>
      </c>
      <c r="B296" s="170" t="n">
        <v>5</v>
      </c>
      <c r="C296" s="170" t="inlineStr">
        <is>
          <t>UNCHECKED ESTIMATE — ~$5 for a 64oz cranberry juice cocktail jug. Replace with the receipt price once bought.</t>
        </is>
      </c>
    </row>
    <row r="297" ht="15.75" customHeight="1" s="171">
      <c r="A297" s="170" t="inlineStr">
        <is>
          <t>Cranberry juice — total oz needed</t>
        </is>
      </c>
      <c r="B297" s="170">
        <f>B287*B293</f>
        <v/>
      </c>
    </row>
    <row r="298" ht="15.75" customHeight="1" s="171">
      <c r="A298" s="170" t="inlineStr">
        <is>
          <t>OJ — total oz needed (Secret Party)</t>
        </is>
      </c>
      <c r="B298" s="170">
        <f>B288*B294</f>
        <v/>
      </c>
    </row>
    <row r="299" ht="15.75" customHeight="1" s="171">
      <c r="A299" s="170" t="inlineStr">
        <is>
          <t>Lemonade — oz/serving (Vodka Lemonade)</t>
        </is>
      </c>
      <c r="B299" s="170" t="n">
        <v>4</v>
      </c>
      <c r="C299" s="170" t="inlineStr">
        <is>
          <t>Same 4oz mixer convention as the other Secret Party pours.</t>
        </is>
      </c>
    </row>
    <row r="300" ht="15.75" customHeight="1" s="171">
      <c r="A300" s="170" t="inlineStr">
        <is>
          <t>Lemonade — total oz needed (Secret Party)</t>
        </is>
      </c>
      <c r="B300" s="170">
        <f>B290*B299</f>
        <v/>
      </c>
      <c r="C300" s="170" t="inlineStr">
        <is>
          <t>Folded directly into Other Consumables B19's Lemonade formula, so it flows through to the existing Kirkland 96oz bottle purchase (Purchase List row 29) instead of a separate line.</t>
        </is>
      </c>
    </row>
    <row r="301" ht="15.75" customHeight="1" s="171">
      <c r="A301" s="170" t="inlineStr">
        <is>
          <t>Red Bull — oz/serving (Vodka Red Bull)</t>
        </is>
      </c>
      <c r="B301" s="170" t="n">
        <v>4</v>
      </c>
    </row>
    <row r="302" ht="15.75" customHeight="1" s="171">
      <c r="A302" s="170" t="inlineStr">
        <is>
          <t>Red Bull — total oz needed (Secret Party)</t>
        </is>
      </c>
      <c r="B302" s="170">
        <f>B289*B301</f>
        <v/>
      </c>
    </row>
    <row r="303" ht="15.75" customHeight="1" s="171">
      <c r="A303" s="170" t="inlineStr">
        <is>
          <t>Red Bull — oz/can</t>
        </is>
      </c>
      <c r="B303" s="170" t="n">
        <v>8.4</v>
      </c>
    </row>
    <row r="304" ht="15.75" customHeight="1" s="171">
      <c r="A304" s="170" t="inlineStr">
        <is>
          <t>Red Bull — extra cans needed (Secret Party, w/ 15% buffer)</t>
        </is>
      </c>
      <c r="B304" s="170">
        <f>CEILING(B302*(1+B5)/B303,1)</f>
        <v/>
      </c>
    </row>
    <row r="305" ht="15.75" customHeight="1" s="171">
      <c r="A305" s="170" t="inlineStr">
        <is>
          <t>Red Bull — extra 24-packs to buy (Secret Party)</t>
        </is>
      </c>
      <c r="B305" s="170">
        <f>CEILING(B304/24,1)</f>
        <v/>
      </c>
      <c r="C305" s="170" t="inlineStr">
        <is>
          <t>Rounded up to a full case since Red Bull is bought in 24-packs — see Bar Add-Ons row 14.</t>
        </is>
      </c>
    </row>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6">
    <mergeCell ref="A1:D1"/>
    <mergeCell ref="A31:D31"/>
    <mergeCell ref="A3:D3"/>
    <mergeCell ref="A38:D38"/>
    <mergeCell ref="A15:D15"/>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FFF3B0"/>
    <outlinePr summaryBelow="1" summaryRight="1"/>
    <pageSetUpPr fitToPage="0"/>
  </sheetPr>
  <dimension ref="A1:G1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296875" defaultRowHeight="15" zeroHeight="0" outlineLevelRow="0"/>
  <cols>
    <col width="40" customWidth="1" style="170" min="1" max="1"/>
    <col width="15" customWidth="1" style="170" min="2" max="2"/>
    <col width="11" customWidth="1" style="170" min="3" max="5"/>
    <col width="15" customWidth="1" style="170" min="6" max="6"/>
    <col width="78" customWidth="1" style="170" min="7" max="7"/>
  </cols>
  <sheetData>
    <row r="1" ht="17.25" customHeight="1" s="171">
      <c r="A1" s="172" t="inlineStr">
        <is>
          <t>Ingredient Pricing — real Costco / Nevada prices, July 2026</t>
        </is>
      </c>
      <c r="B1" s="173" t="n"/>
      <c r="C1" s="173" t="n"/>
      <c r="D1" s="173" t="n"/>
      <c r="E1" s="173" t="n"/>
      <c r="F1" s="173" t="n"/>
      <c r="G1" s="173" t="n"/>
    </row>
    <row r="3" ht="45.75" customHeight="1" s="171">
      <c r="A3" s="174" t="inlineStr">
        <is>
          <t>Every price below has been written INTO the Assumptions tab, so the Purchase List and Totals by Type are already running on these numbers. The 'Now' column reads live from Assumptions — edit there, not here. Sourced from Costco warehouse pricing (July 2026), WebstaurantStore and Walmart. Costco prices vary by warehouse; the Reno warehouse is the one that matters and these are national ranges, so treat them as good-to-±15%.</t>
        </is>
      </c>
    </row>
    <row r="5" ht="15" customHeight="1" s="171">
      <c r="A5" s="175" t="inlineStr">
        <is>
          <t>PRICES CHANGED</t>
        </is>
      </c>
    </row>
    <row r="6" ht="15" customHeight="1" s="171">
      <c r="A6" s="195" t="inlineStr">
        <is>
          <t>Ingredient</t>
        </is>
      </c>
      <c r="B6" s="195" t="inlineStr">
        <is>
          <t>Assumptions cell</t>
        </is>
      </c>
      <c r="C6" s="195" t="inlineStr">
        <is>
          <t>Was</t>
        </is>
      </c>
      <c r="D6" s="195" t="inlineStr">
        <is>
          <t>Now</t>
        </is>
      </c>
      <c r="E6" s="195" t="inlineStr">
        <is>
          <t>Change</t>
        </is>
      </c>
      <c r="F6" s="195" t="inlineStr">
        <is>
          <t>Unit</t>
        </is>
      </c>
      <c r="G6" s="195" t="inlineStr">
        <is>
          <t>Source / basis</t>
        </is>
      </c>
    </row>
    <row r="7" ht="33.75" customHeight="1" s="171">
      <c r="A7" s="192" t="inlineStr">
        <is>
          <t>Cans per case (base soda)</t>
        </is>
      </c>
      <c r="B7" s="229" t="inlineStr">
        <is>
          <t>B6</t>
        </is>
      </c>
      <c r="C7" s="229" t="n">
        <v>24</v>
      </c>
      <c r="D7" s="192">
        <f>Assumptions!B6</f>
        <v/>
      </c>
      <c r="E7" s="229">
        <f>D7-C7</f>
        <v/>
      </c>
      <c r="F7" s="229" t="inlineStr">
        <is>
          <t>cans/case</t>
        </is>
      </c>
      <c r="G7" s="174" t="inlineStr">
        <is>
          <t>Costco does not sell soda in 24s — the warehouse pack is 35 x 12 oz. Changing this alone cuts the case count, and it feeds the soda-water line too.</t>
        </is>
      </c>
    </row>
    <row r="8" ht="33.75" customHeight="1" s="171">
      <c r="A8" s="192" t="inlineStr">
        <is>
          <t>Base soda — $/case (35)</t>
        </is>
      </c>
      <c r="B8" s="229" t="inlineStr">
        <is>
          <t>B16</t>
        </is>
      </c>
      <c r="C8" s="230" t="n">
        <v>25</v>
      </c>
      <c r="D8" s="231">
        <f>Assumptions!B16</f>
        <v/>
      </c>
      <c r="E8" s="230">
        <f>D8-C8</f>
        <v/>
      </c>
      <c r="F8" s="229" t="inlineStr">
        <is>
          <t>$/case of 35</t>
        </is>
      </c>
      <c r="G8" s="174" t="inlineStr">
        <is>
          <t>Costco 35 x 12 oz, July 2026: Coca-Cola $14.49-18.19, Sprite $15.49-16.49, Dr Pepper $14.49-16.49. Using $16. Was $25 for a 24-pack ($1.04/can) — real is ~$0.46/can.</t>
        </is>
      </c>
    </row>
    <row r="9" ht="33.75" customHeight="1" s="171">
      <c r="A9" s="192" t="inlineStr">
        <is>
          <t>Soda water — $/case (35)</t>
        </is>
      </c>
      <c r="B9" s="229" t="inlineStr">
        <is>
          <t>B22</t>
        </is>
      </c>
      <c r="C9" s="230" t="n">
        <v>18</v>
      </c>
      <c r="D9" s="231">
        <f>Assumptions!B22</f>
        <v/>
      </c>
      <c r="E9" s="230">
        <f>D9-C9</f>
        <v/>
      </c>
      <c r="F9" s="229" t="inlineStr">
        <is>
          <t>$/case of 35</t>
        </is>
      </c>
      <c r="G9" s="174" t="inlineStr">
        <is>
          <t>Kirkland Signature Sparkling Water 35 x 12 oz, $11.99-17.09. Variety pack is lime/lemon/grapefruit, which is fine-to-good in the Italian sodas and the Shirley variants. (It used to earn its place in Thirst Trap too; Fuzz Test dropped the soda water entirely.)</t>
        </is>
      </c>
    </row>
    <row r="10" ht="33.75" customHeight="1" s="171">
      <c r="A10" s="192" t="inlineStr">
        <is>
          <t>Syrup — $/bottle (Torani 750 ml)</t>
        </is>
      </c>
      <c r="B10" s="229" t="inlineStr">
        <is>
          <t>B19</t>
        </is>
      </c>
      <c r="C10" s="230" t="n">
        <v>9</v>
      </c>
      <c r="D10" s="231">
        <f>Assumptions!B19</f>
        <v/>
      </c>
      <c r="E10" s="230">
        <f>D10-C10</f>
        <v/>
      </c>
      <c r="F10" s="229" t="inlineStr">
        <is>
          <t>$/750 ml bottle</t>
        </is>
      </c>
      <c r="G10" s="174" t="inlineStr">
        <is>
          <t>WebstaurantStore July 2026: $9.89 single, $7.99 in lots of 3, $6.58 by the case of 12. You need ~19 bottles across many flavors, so you cannot case-buy one SKU — lots of 3 per flavor is the realistic basis. Using $8.</t>
        </is>
      </c>
    </row>
    <row r="11" ht="33.75" customHeight="1" s="171">
      <c r="A11" s="192" t="inlineStr">
        <is>
          <t>Cream of coconut — oz/bottle</t>
        </is>
      </c>
      <c r="B11" s="229" t="inlineStr">
        <is>
          <t>B9</t>
        </is>
      </c>
      <c r="C11" s="229" t="n">
        <v>22</v>
      </c>
      <c r="D11" s="192">
        <f>Assumptions!B9</f>
        <v/>
      </c>
      <c r="E11" s="229">
        <f>D11-C11</f>
        <v/>
      </c>
      <c r="F11" s="229" t="inlineStr">
        <is>
          <t>oz/bottle</t>
        </is>
      </c>
      <c r="G11" s="174" t="inlineStr">
        <is>
          <t>Coco Real squeeze bottle is 16.9 oz, not 22 oz.</t>
        </is>
      </c>
    </row>
    <row r="12" ht="33.75" customHeight="1" s="171">
      <c r="A12" s="192" t="inlineStr">
        <is>
          <t>Cream of coconut — $/bottle</t>
        </is>
      </c>
      <c r="B12" s="229" t="inlineStr">
        <is>
          <t>B20</t>
        </is>
      </c>
      <c r="C12" s="230" t="n">
        <v>7</v>
      </c>
      <c r="D12" s="231">
        <f>Assumptions!B20</f>
        <v/>
      </c>
      <c r="E12" s="230">
        <f>D12-C12</f>
        <v/>
      </c>
      <c r="F12" s="229" t="inlineStr">
        <is>
          <t>$/bottle</t>
        </is>
      </c>
      <c r="G12" s="174" t="inlineStr">
        <is>
          <t>Coco Real 16.9 oz plastic squeeze, Walmart $3.98 ($0.236/oz vs the old $0.318/oz). Coco Lopez 15 oz can is $4.24 but it is a can, not a squeeze — worse on a dusty bar.</t>
        </is>
      </c>
    </row>
    <row r="13" ht="33.75" customHeight="1" s="171">
      <c r="A13" s="192" t="inlineStr">
        <is>
          <t>Fruit purée squeeze bottle — oz</t>
        </is>
      </c>
      <c r="B13" s="229" t="inlineStr">
        <is>
          <t>B91</t>
        </is>
      </c>
      <c r="C13" s="229" t="n">
        <v>22</v>
      </c>
      <c r="D13" s="192">
        <f>Assumptions!B91</f>
        <v/>
      </c>
      <c r="E13" s="229">
        <f>D13-C13</f>
        <v/>
      </c>
      <c r="F13" s="229" t="inlineStr">
        <is>
          <t>oz/bottle</t>
        </is>
      </c>
      <c r="G13" s="174" t="inlineStr">
        <is>
          <t>Reàl ships in a 16.9 oz squeeze bottle. (The model started at 22 oz; a brief detour through 30 oz culinary purée is now abandoned.)</t>
        </is>
      </c>
    </row>
    <row r="14" ht="33.75" customHeight="1" s="171">
      <c r="A14" s="192" t="inlineStr">
        <is>
          <t>Passion fruit purée — $/bottle</t>
        </is>
      </c>
      <c r="B14" s="229" t="inlineStr">
        <is>
          <t>B92</t>
        </is>
      </c>
      <c r="C14" s="230" t="n">
        <v>12</v>
      </c>
      <c r="D14" s="231">
        <f>Assumptions!B92</f>
        <v/>
      </c>
      <c r="E14" s="230">
        <f>D14-C14</f>
        <v/>
      </c>
      <c r="F14" s="229" t="inlineStr">
        <is>
          <t>$/30 oz bottle</t>
        </is>
      </c>
      <c r="G14" s="174" t="inlineStr">
        <is>
          <t>Reàl Passion Fruit Puree Infused Syrup, 16.9 fl oz squeezable, Amazon $12.84 ($0.76/fl oz). The $12-per-22oz original was a placeholder for a product that does not exist; pure culinary purée turned out to be $36-54 per 30 oz. This lands in between and is the right format for a bar.</t>
        </is>
      </c>
    </row>
    <row r="15" ht="33.75" customHeight="1" s="171">
      <c r="A15" s="192" t="inlineStr">
        <is>
          <t>Pineapple purée — $/bottle</t>
        </is>
      </c>
      <c r="B15" s="229" t="inlineStr">
        <is>
          <t>B93</t>
        </is>
      </c>
      <c r="C15" s="230" t="n">
        <v>10</v>
      </c>
      <c r="D15" s="231">
        <f>Assumptions!B93</f>
        <v/>
      </c>
      <c r="E15" s="230">
        <f>D15-C15</f>
        <v/>
      </c>
      <c r="F15" s="229" t="inlineStr">
        <is>
          <t>$/30 oz bottle</t>
        </is>
      </c>
      <c r="G15" s="174" t="inlineStr">
        <is>
          <t>ESTIMATE — Reàl pineapple in the same 16.9 oz squeeze, usually slightly cheaper. Qty 0 today.</t>
        </is>
      </c>
    </row>
    <row r="16" ht="33.75" customHeight="1" s="171">
      <c r="A16" s="192" t="inlineStr">
        <is>
          <t>Orange juice — $/carton (64 oz)</t>
        </is>
      </c>
      <c r="B16" s="229" t="inlineStr">
        <is>
          <t>B70</t>
        </is>
      </c>
      <c r="C16" s="230" t="n">
        <v>5</v>
      </c>
      <c r="D16" s="231">
        <f>Assumptions!B70</f>
        <v/>
      </c>
      <c r="E16" s="230">
        <f>D16-C16</f>
        <v/>
      </c>
      <c r="F16" s="229" t="inlineStr">
        <is>
          <t>$/64 oz carton</t>
        </is>
      </c>
      <c r="G16" s="174" t="inlineStr">
        <is>
          <t>Barsotti 64 oz at Costco, $7.49-7.99.</t>
        </is>
      </c>
    </row>
    <row r="17" ht="33.75" customHeight="1" s="171">
      <c r="A17" s="192" t="inlineStr">
        <is>
          <t>Pineapple juice — $/can (46 oz)</t>
        </is>
      </c>
      <c r="B17" s="229" t="inlineStr">
        <is>
          <t>B72</t>
        </is>
      </c>
      <c r="C17" s="230" t="n">
        <v>4</v>
      </c>
      <c r="D17" s="231">
        <f>Assumptions!B72</f>
        <v/>
      </c>
      <c r="E17" s="230">
        <f>D17-C17</f>
        <v/>
      </c>
      <c r="F17" s="229" t="inlineStr">
        <is>
          <t>$/46 oz can</t>
        </is>
      </c>
      <c r="G17" s="174" t="inlineStr">
        <is>
          <t>Dole 100% pineapple juice 3 x 46 oz, $8.69-9.99 → $3.33 per can.</t>
        </is>
      </c>
    </row>
    <row r="18" ht="33.75" customHeight="1" s="171">
      <c r="A18" s="192" t="inlineStr">
        <is>
          <t>Clamato — $/bottle (64 oz)</t>
        </is>
      </c>
      <c r="B18" s="229" t="inlineStr">
        <is>
          <t>B104</t>
        </is>
      </c>
      <c r="C18" s="230" t="n">
        <v>5</v>
      </c>
      <c r="D18" s="231">
        <f>Assumptions!B104</f>
        <v/>
      </c>
      <c r="E18" s="230">
        <f>D18-C18</f>
        <v/>
      </c>
      <c r="F18" s="229" t="inlineStr">
        <is>
          <t>$/64 oz bottle</t>
        </is>
      </c>
      <c r="G18" s="174" t="inlineStr">
        <is>
          <t>Costco Clamato 2 x 64 oz, $4.97-6.49 → $2.87 per bottle.</t>
        </is>
      </c>
    </row>
    <row r="19" ht="33.75" customHeight="1" s="171">
      <c r="A19" s="192" t="inlineStr">
        <is>
          <t>Maraschino cherries — $/jar</t>
        </is>
      </c>
      <c r="B19" s="229" t="inlineStr">
        <is>
          <t>B80</t>
        </is>
      </c>
      <c r="C19" s="230" t="n">
        <v>8</v>
      </c>
      <c r="D19" s="231">
        <f>Assumptions!B80</f>
        <v/>
      </c>
      <c r="E19" s="230">
        <f>D19-C19</f>
        <v/>
      </c>
      <c r="F19" s="229" t="inlineStr">
        <is>
          <t>$/jar</t>
        </is>
      </c>
      <c r="G19" s="174" t="inlineStr">
        <is>
          <t>Luxardo 2 x 14.1 oz at Costco $14.97 → $7.49/jar. That is the GOOD cherry, not the neon supermarket kind, and it is cheaper than the placeholder was.</t>
        </is>
      </c>
    </row>
    <row r="20" ht="33.75" customHeight="1" s="171">
      <c r="A20" s="192" t="inlineStr">
        <is>
          <t>Lemon — $/each</t>
        </is>
      </c>
      <c r="B20" s="229" t="inlineStr">
        <is>
          <t>B100</t>
        </is>
      </c>
      <c r="C20" s="230" t="n">
        <v>0.6</v>
      </c>
      <c r="D20" s="231">
        <f>Assumptions!B100</f>
        <v/>
      </c>
      <c r="E20" s="230">
        <f>D20-C20</f>
        <v/>
      </c>
      <c r="F20" s="229" t="inlineStr">
        <is>
          <t>$/each</t>
        </is>
      </c>
      <c r="G20" s="174" t="inlineStr">
        <is>
          <t>Costco 5 lb bag $4.49-5.39, roughly 20-25 lemons per bag → ~$0.22 each. Using $0.25.</t>
        </is>
      </c>
    </row>
    <row r="21" ht="33.75" customHeight="1" s="171">
      <c r="A21" s="192" t="inlineStr">
        <is>
          <t>Lime — $/each</t>
        </is>
      </c>
      <c r="B21" s="229" t="inlineStr">
        <is>
          <t>B112</t>
        </is>
      </c>
      <c r="C21" s="230" t="n">
        <v>0.35</v>
      </c>
      <c r="D21" s="231">
        <f>Assumptions!B112</f>
        <v/>
      </c>
      <c r="E21" s="230">
        <f>D21-C21</f>
        <v/>
      </c>
      <c r="F21" s="229" t="inlineStr">
        <is>
          <t>$/each</t>
        </is>
      </c>
      <c r="G21" s="174" t="inlineStr">
        <is>
          <t>Costco 3 lb bag, ~12 limes. The 40 lb full case is $19.19 (~$0.10 each) — at 113 limes you are one third of a case, so the bag price is the honest basis. Using $0.30.</t>
        </is>
      </c>
    </row>
    <row r="22" ht="33.75" customHeight="1" s="171">
      <c r="A22" s="192" t="inlineStr">
        <is>
          <t>Agave syrup — oz/bottle</t>
        </is>
      </c>
      <c r="B22" s="229" t="inlineStr">
        <is>
          <t>B132</t>
        </is>
      </c>
      <c r="C22" s="229" t="n">
        <v>23.5</v>
      </c>
      <c r="D22" s="192">
        <f>Assumptions!B132</f>
        <v/>
      </c>
      <c r="E22" s="229">
        <f>D22-C22</f>
        <v/>
      </c>
      <c r="F22" s="229" t="inlineStr">
        <is>
          <t>oz/bottle</t>
        </is>
      </c>
      <c r="G22" s="174" t="inlineStr">
        <is>
          <t>Kirkland Organic Blue Agave ships as 2 x 36 oz.</t>
        </is>
      </c>
    </row>
    <row r="23" ht="33.75" customHeight="1" s="171">
      <c r="A23" s="192" t="inlineStr">
        <is>
          <t>Agave syrup — $/bottle (36 oz)</t>
        </is>
      </c>
      <c r="B23" s="229" t="inlineStr">
        <is>
          <t>B133</t>
        </is>
      </c>
      <c r="C23" s="230" t="n">
        <v>9</v>
      </c>
      <c r="D23" s="231">
        <f>Assumptions!B133</f>
        <v/>
      </c>
      <c r="E23" s="230">
        <f>D23-C23</f>
        <v/>
      </c>
      <c r="F23" s="229" t="inlineStr">
        <is>
          <t>$/36 oz bottle</t>
        </is>
      </c>
      <c r="G23" s="174" t="inlineStr">
        <is>
          <t>Kirkland Organic Blue Agave 2 x 36 oz, $8.89-9.99 → $4.75 per 36 oz bottle. Cheaper per bottle AND 53% more syrup in it.</t>
        </is>
      </c>
    </row>
    <row r="25" ht="15" customHeight="1" s="171">
      <c r="A25" s="175" t="inlineStr">
        <is>
          <t>THE PASSION FRUIT DECISION — settled (and cheaper again on the Aug 2026 recheck)</t>
        </is>
      </c>
    </row>
    <row r="26" ht="30" customHeight="1" s="171">
      <c r="A26" s="195" t="inlineStr">
        <is>
          <t>Option</t>
        </is>
      </c>
      <c r="B26" s="195" t="inlineStr">
        <is>
          <t>$ / oz</t>
        </is>
      </c>
      <c r="C26" s="195" t="inlineStr">
        <is>
          <t>oz needed</t>
        </is>
      </c>
      <c r="D26" s="195" t="inlineStr">
        <is>
          <t>Cost</t>
        </is>
      </c>
      <c r="E26" s="195" t="inlineStr">
        <is>
          <t>vs the old assumption</t>
        </is>
      </c>
      <c r="F26" s="195" t="n"/>
      <c r="G26" s="195" t="inlineStr">
        <is>
          <t>Note</t>
        </is>
      </c>
    </row>
    <row r="27" ht="33.75" customHeight="1" s="171">
      <c r="A27" s="192" t="inlineStr">
        <is>
          <t>Placeholder the model started with</t>
        </is>
      </c>
      <c r="B27" s="232" t="n">
        <v>0.5455</v>
      </c>
      <c r="C27" s="233">
        <f>'Other Consumables'!D17*Assumptions!$B$91</f>
        <v/>
      </c>
      <c r="D27" s="234">
        <f>B27*C27</f>
        <v/>
      </c>
      <c r="E27" s="235">
        <f>D27-$D$27</f>
        <v/>
      </c>
      <c r="G27" s="174" t="inlineStr">
        <is>
          <t>$12 per 22 oz. Not a real product at that price.</t>
        </is>
      </c>
    </row>
    <row r="28" ht="45.75" customHeight="1" s="171">
      <c r="A28" s="192" t="inlineStr">
        <is>
          <t>Reàl infused syrup, 16.9 oz squeeze — CHOSEN</t>
        </is>
      </c>
      <c r="B28" s="232" t="n">
        <v>0.385</v>
      </c>
      <c r="C28" s="233">
        <f>'Other Consumables'!D17*Assumptions!$B$91</f>
        <v/>
      </c>
      <c r="D28" s="234">
        <f>B28*C28</f>
        <v/>
      </c>
      <c r="E28" s="235">
        <f>D28-$D$27</f>
        <v/>
      </c>
      <c r="G28" s="174" t="inlineStr">
        <is>
          <t>WebstaurantStore case of 6, $38.99 = $6.50/bottle = $0.385/fl oz (checked 2 Aug 2026). The single-bottle Amazon price this block was originally argued from was $12.84 = $0.76/oz. Halving the price does not change the conclusion — it strengthens it: Reàl was already the right call against pure culinary purée at $1.21/oz, and at case pricing it is not close.</t>
        </is>
      </c>
    </row>
    <row r="29" ht="45.75" customHeight="1" s="171">
      <c r="A29" s="192" t="inlineStr">
        <is>
          <t>Alternatives rejected</t>
        </is>
      </c>
      <c r="B29" s="232" t="n"/>
      <c r="C29" s="233" t="n"/>
      <c r="D29" s="234" t="n"/>
      <c r="E29" s="235" t="n"/>
      <c r="G29" s="174" t="inlineStr">
        <is>
          <t>Pure culinary purée (Perfect Puree 30 oz) at $1.21/oz best case — real and tart, but $36-54 a bottle and it wants refrigeration once opened. Plain flavouring syrup (Torani 750 ml) at $0.315/oz — cheapest, but sweet with no fruit body, and the passion fruit is doing real work in Tang Dynasty and Catboy Piss.</t>
        </is>
      </c>
    </row>
    <row r="31" ht="15" customHeight="1" s="171">
      <c r="A31" s="175" t="inlineStr">
        <is>
          <t>NOT REPRICED IN JULY — ALL CHECKED 2 AUG 2026, see the second-pass table below</t>
        </is>
      </c>
    </row>
    <row r="32" ht="15" customHeight="1" s="171">
      <c r="A32" s="195" t="inlineStr">
        <is>
          <t>Ingredient</t>
        </is>
      </c>
      <c r="B32" s="195" t="inlineStr">
        <is>
          <t>Assumptions cell</t>
        </is>
      </c>
      <c r="C32" s="195" t="inlineStr">
        <is>
          <t>Still assumes</t>
        </is>
      </c>
      <c r="D32" s="195" t="n"/>
      <c r="E32" s="195" t="n"/>
      <c r="F32" s="195" t="n"/>
      <c r="G32" s="195" t="inlineStr">
        <is>
          <t>Why it was left alone</t>
        </is>
      </c>
    </row>
    <row r="33" ht="33.75" customHeight="1" s="171">
      <c r="A33" s="192" t="inlineStr">
        <is>
          <t>Horchata mix / rice-milk base</t>
        </is>
      </c>
      <c r="B33" s="229" t="inlineStr">
        <is>
          <t>B18</t>
        </is>
      </c>
      <c r="C33" s="230" t="n">
        <v>12</v>
      </c>
      <c r="G33" s="174" t="inlineStr">
        <is>
          <t>RESOLVED. Mexquisita concentrate or Klass powder, ~$5. Was a pure guess at $12.</t>
        </is>
      </c>
    </row>
    <row r="34" ht="33.75" customHeight="1" s="171">
      <c r="A34" s="192" t="inlineStr">
        <is>
          <t>Lemonade, ready-to-drink (96 oz bottle)</t>
        </is>
      </c>
      <c r="B34" s="229" t="inlineStr">
        <is>
          <t>B17</t>
        </is>
      </c>
      <c r="C34" s="230" t="n">
        <v>4.5</v>
      </c>
      <c r="G34" s="174" t="inlineStr">
        <is>
          <t>REPLACED 14 Aug 2026 — was Country Time powder at $1.25/finished gallon. Now Kirkland Signature Organic Lemonade, 96 oz x 2-count, shelf-stable. *** PRICE IS AN UNCHECKED PLACEHOLDER ($4.50/bottle, $9.00/pack). *** Buying 2 packs / 4 bottles. Confirm at the warehouse.</t>
        </is>
      </c>
    </row>
    <row r="35" ht="33.75" customHeight="1" s="171">
      <c r="A35" s="192" t="inlineStr">
        <is>
          <t>Lime juice, bottled (48 oz)</t>
        </is>
      </c>
      <c r="B35" s="229" t="inlineStr">
        <is>
          <t>B79</t>
        </is>
      </c>
      <c r="C35" s="230" t="n">
        <v>4</v>
      </c>
      <c r="G35" s="174" t="inlineStr">
        <is>
          <t>Held at $4. ReaLime 48 oz may not be a US Costco SKU at all — see the open questions below.</t>
        </is>
      </c>
    </row>
    <row r="36" ht="33.75" customHeight="1" s="171">
      <c r="A36" s="192" t="inlineStr">
        <is>
          <t>Blue spirulina</t>
        </is>
      </c>
      <c r="B36" s="229" t="inlineStr">
        <is>
          <t>B75</t>
        </is>
      </c>
      <c r="C36" s="230" t="n">
        <v>20</v>
      </c>
      <c r="G36" s="174" t="inlineStr">
        <is>
          <t>Respecified to a 30 g jar at $16. The 50 g size barely exists.</t>
        </is>
      </c>
    </row>
    <row r="37" ht="33.75" customHeight="1" s="171">
      <c r="A37" s="192" t="inlineStr">
        <is>
          <t>Hot sauce, Tajin, pickles, cinnamon</t>
        </is>
      </c>
      <c r="B37" s="229" t="inlineStr">
        <is>
          <t>B107 / B110</t>
        </is>
      </c>
      <c r="G37" s="174" t="inlineStr">
        <is>
          <t>Now itemized properly. Hot sauce fell to $1.75, Tajin rose to $4.68, pickles restructured to gallon jars.</t>
        </is>
      </c>
    </row>
    <row r="38" ht="33.75" customHeight="1" s="171">
      <c r="A38" s="192" t="inlineStr">
        <is>
          <t>Ginger beer (12 oz cans)</t>
        </is>
      </c>
      <c r="B38" s="229" t="inlineStr">
        <is>
          <t>B97</t>
        </is>
      </c>
      <c r="C38" s="230" t="n">
        <v>1.25</v>
      </c>
      <c r="G38" s="174" t="inlineStr">
        <is>
          <t>Raised to $1.70/can — an AVAILABILITY correction, not a price one. Costco Bundaberg is out at 93% of warehouses.</t>
        </is>
      </c>
    </row>
    <row r="39" ht="33.75" customHeight="1" s="171">
      <c r="A39" s="192" t="inlineStr">
        <is>
          <t>Watermelon, cucumbers, mint, basil, sage</t>
        </is>
      </c>
      <c r="B39" s="229" t="inlineStr">
        <is>
          <t>B77 / B123</t>
        </is>
      </c>
      <c r="G39" s="174" t="inlineStr">
        <is>
          <t>Checked. Watermelon exact at $7; cucumbers, grapefruit and limes nudged up; mint is the problem — Costco carries no fresh soft herbs.</t>
        </is>
      </c>
    </row>
    <row r="41" ht="15" customHeight="1" s="171">
      <c r="A41" s="175" t="inlineStr">
        <is>
          <t>SECOND PASS — AUGUST 2026 REPRICE (six parallel checks, 2 Aug 2026)</t>
        </is>
      </c>
    </row>
    <row r="42" ht="15" customHeight="1" s="171">
      <c r="A42" s="170" t="inlineStr">
        <is>
          <t>Every line below was checked against a live listing. Costco figures come from a warehouse price tracker whose "current" column is the LOWEST price seen across all warehouses and often reflects a promo — the average is the honest planning number, and Reno may sit anywhere in the range. One true Reno datapoint was obtained: Costco #25, Harvard Way, Coke 35-count at $14.49 on 2 Aug 2026, at the bottom of the national range. Walmart, Total Wine and Binny's all block automated fetching, so those figures come from search snippets or Instacart storefronts (Instacart runs 5-15% above Total Wine shelf prices), and should be treated as +/-10%.</t>
        </is>
      </c>
    </row>
    <row r="44" ht="15" customHeight="1" s="171">
      <c r="A44" s="195" t="inlineStr">
        <is>
          <t>Item</t>
        </is>
      </c>
      <c r="B44" s="195" t="inlineStr">
        <is>
          <t>Cell</t>
        </is>
      </c>
      <c r="C44" s="195" t="inlineStr">
        <is>
          <t>Was</t>
        </is>
      </c>
      <c r="D44" s="195" t="inlineStr">
        <is>
          <t>Now</t>
        </is>
      </c>
      <c r="E44" s="195" t="inlineStr">
        <is>
          <t>Direction</t>
        </is>
      </c>
      <c r="F44" s="195" t="inlineStr">
        <is>
          <t>Confidence</t>
        </is>
      </c>
      <c r="G44" s="195" t="inlineStr">
        <is>
          <t>Source / basis</t>
        </is>
      </c>
    </row>
    <row r="45" ht="15" customHeight="1" s="171">
      <c r="A45" s="192" t="inlineStr">
        <is>
          <t>Creamer, 32 oz</t>
        </is>
      </c>
      <c r="B45" s="229" t="inlineStr">
        <is>
          <t>B205</t>
        </is>
      </c>
      <c r="C45" s="229" t="n">
        <v>7</v>
      </c>
      <c r="D45" s="192" t="n">
        <v>4.15</v>
      </c>
      <c r="E45" s="229" t="inlineStr">
        <is>
          <t>-41%</t>
        </is>
      </c>
      <c r="F45" s="229" t="inlineStr">
        <is>
          <t>VERIFIED</t>
        </is>
      </c>
      <c r="G45" s="174" t="inlineStr">
        <is>
          <t>Coffee-mate $3.79 Costco, Califia Oat $4.32 Walmart, blended over the 4 dairy / 8 non-dairy split</t>
        </is>
      </c>
    </row>
    <row r="46" ht="15" customHeight="1" s="171">
      <c r="A46" s="192" t="inlineStr">
        <is>
          <t>Electrolyte canister</t>
        </is>
      </c>
      <c r="B46" s="229" t="inlineStr">
        <is>
          <t>B87/B88</t>
        </is>
      </c>
      <c r="C46" s="229" t="inlineStr">
        <is>
          <t>$13 / 6 gal</t>
        </is>
      </c>
      <c r="D46" s="192" t="inlineStr">
        <is>
          <t>$14.99 / 9 gal</t>
        </is>
      </c>
      <c r="E46" s="229" t="inlineStr">
        <is>
          <t>unit fixed</t>
        </is>
      </c>
      <c r="F46" s="229" t="inlineStr">
        <is>
          <t>VERIFIED</t>
        </is>
      </c>
      <c r="G46" s="174" t="inlineStr">
        <is>
          <t>Costco Gatorade 76.5 oz = $1.67/gal. Liquid I.V. checked and rejected at $5.33/gal</t>
        </is>
      </c>
    </row>
    <row r="47" ht="15" customHeight="1" s="171">
      <c r="A47" s="192" t="inlineStr">
        <is>
          <t>Coffee grounds, 5 lb (Stone Street coarse)</t>
        </is>
      </c>
      <c r="B47" s="229" t="inlineStr">
        <is>
          <t>B85</t>
        </is>
      </c>
      <c r="C47" s="229" t="n">
        <v>72.98999999999999</v>
      </c>
      <c r="D47" s="192" t="n">
        <v>72.98999999999999</v>
      </c>
      <c r="E47" s="229" t="inlineStr">
        <is>
          <t>+17%</t>
        </is>
      </c>
      <c r="F47" s="229" t="inlineStr">
        <is>
          <t>VERIFIED</t>
        </is>
      </c>
      <c r="G47" s="174" t="inlineStr">
        <is>
          <t>RESOLVED 14 Aug 2026 — Stone Street COARSE cold brew, 5 lb bag $72.99 ($14.60/lb), Amazon. Replaces Kirkland Colombian 3 lb drip grind at $20.99. Buy size checked: 5 bags beats 24 single pounds by $49.05 and an exact-24 lb mix by only $3.99. See Purchase List row 55.</t>
        </is>
      </c>
    </row>
    <row r="48" ht="15" customHeight="1" s="171">
      <c r="A48" s="192" t="inlineStr">
        <is>
          <t>Passion fruit purée</t>
        </is>
      </c>
      <c r="B48" s="229" t="inlineStr">
        <is>
          <t>B92</t>
        </is>
      </c>
      <c r="C48" s="229" t="n">
        <v>12.84</v>
      </c>
      <c r="D48" s="192" t="n">
        <v>6.5</v>
      </c>
      <c r="E48" s="229" t="inlineStr">
        <is>
          <t>-49%</t>
        </is>
      </c>
      <c r="F48" s="229" t="inlineStr">
        <is>
          <t>VERIFIED</t>
        </is>
      </c>
      <c r="G48" s="174" t="inlineStr">
        <is>
          <t>Reàl 16.9 oz, WebstaurantStore case of 6 at $38.99</t>
        </is>
      </c>
    </row>
    <row r="49" ht="15" customHeight="1" s="171">
      <c r="A49" s="192" t="inlineStr">
        <is>
          <t>Pineapple purée</t>
        </is>
      </c>
      <c r="B49" s="229" t="inlineStr">
        <is>
          <t>B93</t>
        </is>
      </c>
      <c r="C49" s="229" t="n">
        <v>12</v>
      </c>
      <c r="D49" s="192" t="n">
        <v>7.25</v>
      </c>
      <c r="E49" s="229" t="inlineStr">
        <is>
          <t>-40%</t>
        </is>
      </c>
      <c r="F49" s="229" t="inlineStr">
        <is>
          <t>VERIFIED</t>
        </is>
      </c>
      <c r="G49" s="174" t="inlineStr">
        <is>
          <t>Reàl 16.9 oz, WebstaurantStore case of 6 at $43.49</t>
        </is>
      </c>
    </row>
    <row r="50" ht="15" customHeight="1" s="171">
      <c r="A50" s="192" t="inlineStr">
        <is>
          <t>Hot sauce, 12 oz</t>
        </is>
      </c>
      <c r="B50" s="229" t="inlineStr">
        <is>
          <t>B107</t>
        </is>
      </c>
      <c r="C50" s="229" t="n">
        <v>3</v>
      </c>
      <c r="D50" s="192" t="n">
        <v>1.75</v>
      </c>
      <c r="E50" s="229" t="inlineStr">
        <is>
          <t>-42%</t>
        </is>
      </c>
      <c r="F50" s="229" t="inlineStr">
        <is>
          <t>VERIFIED</t>
        </is>
      </c>
      <c r="G50" s="174" t="inlineStr">
        <is>
          <t>Valentina 12.5 oz, Walmart $1.68</t>
        </is>
      </c>
    </row>
    <row r="51" ht="15" customHeight="1" s="171">
      <c r="A51" s="192" t="inlineStr">
        <is>
          <t>Horchata base</t>
        </is>
      </c>
      <c r="B51" s="229" t="inlineStr">
        <is>
          <t>B18</t>
        </is>
      </c>
      <c r="C51" s="229" t="n">
        <v>12</v>
      </c>
      <c r="D51" s="192" t="n">
        <v>5</v>
      </c>
      <c r="E51" s="229" t="inlineStr">
        <is>
          <t>-58%</t>
        </is>
      </c>
      <c r="F51" s="229" t="inlineStr">
        <is>
          <t>VERIFIED</t>
        </is>
      </c>
      <c r="G51" s="174" t="inlineStr">
        <is>
          <t>Mexquisita 23.6 oz concentrate makes ~165 oz. Was the workbook's own flagged unknown</t>
        </is>
      </c>
    </row>
    <row r="52" ht="15" customHeight="1" s="171">
      <c r="A52" s="192" t="inlineStr">
        <is>
          <t>Pickle brine</t>
        </is>
      </c>
      <c r="B52" s="229" t="inlineStr">
        <is>
          <t>B211/B212</t>
        </is>
      </c>
      <c r="C52" s="229" t="inlineStr">
        <is>
          <t>14 oz @ $5</t>
        </is>
      </c>
      <c r="D52" s="192" t="inlineStr">
        <is>
          <t>115 oz @ $7.50</t>
        </is>
      </c>
      <c r="E52" s="229" t="inlineStr">
        <is>
          <t>restructured</t>
        </is>
      </c>
      <c r="F52" s="229" t="inlineStr">
        <is>
          <t>VERIFIED</t>
        </is>
      </c>
      <c r="G52" s="174" t="inlineStr">
        <is>
          <t>Mt. Olive 128 oz gallon spear jar = $0.13/oz brine vs $0.357 for six 32 oz jars</t>
        </is>
      </c>
    </row>
    <row r="53" ht="15" customHeight="1" s="171">
      <c r="A53" s="192" t="inlineStr">
        <is>
          <t>Blue spirulina</t>
        </is>
      </c>
      <c r="B53" s="229" t="inlineStr">
        <is>
          <t>B75</t>
        </is>
      </c>
      <c r="C53" s="229" t="inlineStr">
        <is>
          <t>50 g @ $20</t>
        </is>
      </c>
      <c r="D53" s="192" t="inlineStr">
        <is>
          <t>30 g @ $16</t>
        </is>
      </c>
      <c r="E53" s="229" t="inlineStr">
        <is>
          <t>respecified</t>
        </is>
      </c>
      <c r="F53" s="229" t="inlineStr">
        <is>
          <t>VERIFIED</t>
        </is>
      </c>
      <c r="G53" s="174" t="inlineStr">
        <is>
          <t>50 g is not a real SKU; market is 30 g and 60 g. 0.25-0.5 g per drink</t>
        </is>
      </c>
    </row>
    <row r="54" ht="15" customHeight="1" s="171">
      <c r="A54" s="192" t="inlineStr">
        <is>
          <t>Basil seeds, 100 g</t>
        </is>
      </c>
      <c r="B54" s="229" t="inlineStr">
        <is>
          <t>B152</t>
        </is>
      </c>
      <c r="C54" s="229" t="n">
        <v>7</v>
      </c>
      <c r="D54" s="192" t="n">
        <v>4</v>
      </c>
      <c r="E54" s="229" t="inlineStr">
        <is>
          <t>-43%</t>
        </is>
      </c>
      <c r="F54" s="229" t="inlineStr">
        <is>
          <t>VERIFIED</t>
        </is>
      </c>
      <c r="G54" s="174" t="inlineStr">
        <is>
          <t>NY Spice Shop 8 oz bag at $6.49 = $2.86/100 g</t>
        </is>
      </c>
    </row>
    <row r="55" ht="15" customHeight="1" s="171">
      <c r="A55" s="192" t="inlineStr">
        <is>
          <t>Mugicha, 54 bags</t>
        </is>
      </c>
      <c r="B55" s="229" t="inlineStr">
        <is>
          <t>B141</t>
        </is>
      </c>
      <c r="C55" s="229" t="n">
        <v>10</v>
      </c>
      <c r="D55" s="192" t="n">
        <v>7</v>
      </c>
      <c r="E55" s="229" t="inlineStr">
        <is>
          <t>-30%</t>
        </is>
      </c>
      <c r="F55" s="229" t="inlineStr">
        <is>
          <t>VERIFIED</t>
        </is>
      </c>
      <c r="G55" s="174" t="inlineStr">
        <is>
          <t>Ito En, H Mart $5.99</t>
        </is>
      </c>
    </row>
    <row r="56" ht="15" customHeight="1" s="171">
      <c r="A56" s="192" t="inlineStr">
        <is>
          <t>Suan mei tang YIELD</t>
        </is>
      </c>
      <c r="B56" s="229" t="inlineStr">
        <is>
          <t>B136</t>
        </is>
      </c>
      <c r="C56" s="229" t="inlineStr">
        <is>
          <t>0.66 gal</t>
        </is>
      </c>
      <c r="D56" s="192" t="inlineStr">
        <is>
          <t>0.53 gal</t>
        </is>
      </c>
      <c r="E56" s="229" t="inlineStr">
        <is>
          <t>YIELD FIX</t>
        </is>
      </c>
      <c r="F56" s="229" t="inlineStr">
        <is>
          <t>VERIFIED</t>
        </is>
      </c>
      <c r="G56" s="174" t="inlineStr">
        <is>
          <t>*** Packets brew at 2.0 L, not 2.5 L. Every supplier agrees. 8 packets bought 4.2 gal against a 5 gal target ***</t>
        </is>
      </c>
    </row>
    <row r="57" ht="15" customHeight="1" s="171">
      <c r="A57" s="192" t="inlineStr">
        <is>
          <t>Suan mei tang</t>
        </is>
      </c>
      <c r="B57" s="229" t="inlineStr">
        <is>
          <t>B137</t>
        </is>
      </c>
      <c r="C57" s="229" t="n">
        <v>5</v>
      </c>
      <c r="D57" s="192" t="n">
        <v>6</v>
      </c>
      <c r="E57" s="229" t="inlineStr">
        <is>
          <t>+20%</t>
        </is>
      </c>
      <c r="F57" s="229" t="inlineStr">
        <is>
          <t>VERIFIED</t>
        </is>
      </c>
      <c r="G57" s="174" t="inlineStr">
        <is>
          <t>Tak Shing Hong $4.99 direct, $5.66 via Weee!</t>
        </is>
      </c>
    </row>
    <row r="58" ht="15" customHeight="1" s="171">
      <c r="A58" s="192" t="inlineStr">
        <is>
          <t>Green tea, 100 bags</t>
        </is>
      </c>
      <c r="B58" s="229" t="inlineStr">
        <is>
          <t>B180</t>
        </is>
      </c>
      <c r="C58" s="229" t="n">
        <v>8</v>
      </c>
      <c r="D58" s="192" t="n">
        <v>12</v>
      </c>
      <c r="E58" s="229" t="inlineStr">
        <is>
          <t>+50%</t>
        </is>
      </c>
      <c r="F58" s="229" t="inlineStr">
        <is>
          <t>VERIFIED</t>
        </is>
      </c>
      <c r="G58" s="174" t="inlineStr">
        <is>
          <t>Kirkland Japanese 100-ct, Costco $11.99-13.49</t>
        </is>
      </c>
    </row>
    <row r="59" ht="15" customHeight="1" s="171">
      <c r="A59" s="192" t="inlineStr">
        <is>
          <t>Dried hibiscus, 1 lb</t>
        </is>
      </c>
      <c r="B59" s="229" t="inlineStr">
        <is>
          <t>B126</t>
        </is>
      </c>
      <c r="C59" s="229" t="n">
        <v>11</v>
      </c>
      <c r="D59" s="192" t="n">
        <v>14</v>
      </c>
      <c r="E59" s="229" t="inlineStr">
        <is>
          <t>+27%</t>
        </is>
      </c>
      <c r="F59" s="229" t="inlineStr">
        <is>
          <t>VERIFIED</t>
        </is>
      </c>
      <c r="G59" s="174" t="inlineStr">
        <is>
          <t>Sabor Orgánico 1 lb, Amazon $14.95</t>
        </is>
      </c>
    </row>
    <row r="60" ht="15" customHeight="1" s="171">
      <c r="A60" s="192" t="inlineStr">
        <is>
          <t>Lapsang, 4 oz</t>
        </is>
      </c>
      <c r="B60" s="229" t="inlineStr">
        <is>
          <t>B144</t>
        </is>
      </c>
      <c r="C60" s="229" t="n">
        <v>12</v>
      </c>
      <c r="D60" s="192" t="n">
        <v>11</v>
      </c>
      <c r="E60" s="229" t="inlineStr">
        <is>
          <t>-8%</t>
        </is>
      </c>
      <c r="F60" s="229" t="inlineStr">
        <is>
          <t>VERIFIED</t>
        </is>
      </c>
      <c r="G60" s="174" t="inlineStr">
        <is>
          <t>Upton Tea / English Tea Store</t>
        </is>
      </c>
    </row>
    <row r="61" ht="15" customHeight="1" s="171">
      <c r="A61" s="192" t="inlineStr">
        <is>
          <t>Aloe, 1.5 L</t>
        </is>
      </c>
      <c r="B61" s="229" t="inlineStr">
        <is>
          <t>B149</t>
        </is>
      </c>
      <c r="C61" s="229" t="n">
        <v>4</v>
      </c>
      <c r="D61" s="192" t="n">
        <v>4.5</v>
      </c>
      <c r="E61" s="229" t="inlineStr">
        <is>
          <t>+13%</t>
        </is>
      </c>
      <c r="F61" s="229" t="inlineStr">
        <is>
          <t>VERIFIED</t>
        </is>
      </c>
      <c r="G61" s="174" t="inlineStr">
        <is>
          <t>OKF Aloe Vera King. Buy the PULPED line, not pulp-free</t>
        </is>
      </c>
    </row>
    <row r="62" ht="15" customHeight="1" s="171">
      <c r="A62" s="192" t="inlineStr">
        <is>
          <t>Celsius</t>
        </is>
      </c>
      <c r="B62" s="229" t="inlineStr">
        <is>
          <t>B184/B185</t>
        </is>
      </c>
      <c r="C62" s="229" t="inlineStr">
        <is>
          <t>12-pk @ $20</t>
        </is>
      </c>
      <c r="D62" s="192" t="inlineStr">
        <is>
          <t>18-pk @ $24</t>
        </is>
      </c>
      <c r="E62" s="229" t="inlineStr">
        <is>
          <t>pack fixed</t>
        </is>
      </c>
      <c r="F62" s="229" t="inlineStr">
        <is>
          <t>VERIFIED</t>
        </is>
      </c>
      <c r="G62" s="174" t="inlineStr">
        <is>
          <t>Costco has no 12-pack; the SKU is an 18-count at $1.33/can</t>
        </is>
      </c>
    </row>
    <row r="63" ht="15" customHeight="1" s="171">
      <c r="A63" s="192" t="inlineStr">
        <is>
          <t>Spindrift</t>
        </is>
      </c>
      <c r="B63" s="229" t="inlineStr">
        <is>
          <t>B190/B191</t>
        </is>
      </c>
      <c r="C63" s="229" t="inlineStr">
        <is>
          <t>24-pk @ $20</t>
        </is>
      </c>
      <c r="D63" s="192" t="inlineStr">
        <is>
          <t>30-pk @ $21.49</t>
        </is>
      </c>
      <c r="E63" s="229" t="inlineStr">
        <is>
          <t>pack fixed</t>
        </is>
      </c>
      <c r="F63" s="229" t="inlineStr">
        <is>
          <t>VERIFIED</t>
        </is>
      </c>
      <c r="G63" s="174" t="inlineStr">
        <is>
          <t>Costco SKU is a 30-count variety = $0.64/can vs $0.833 assumed</t>
        </is>
      </c>
    </row>
    <row r="64" ht="15" customHeight="1" s="171">
      <c r="A64" s="192" t="inlineStr">
        <is>
          <t>White Claw</t>
        </is>
      </c>
      <c r="B64" s="229" t="inlineStr">
        <is>
          <t>B187/B188</t>
        </is>
      </c>
      <c r="C64" s="229" t="inlineStr">
        <is>
          <t>12-pk @ $18</t>
        </is>
      </c>
      <c r="D64" s="192" t="inlineStr">
        <is>
          <t>24-pk @ $30.49</t>
        </is>
      </c>
      <c r="E64" s="229" t="inlineStr">
        <is>
          <t>pack fixed</t>
        </is>
      </c>
      <c r="F64" s="229" t="inlineStr">
        <is>
          <t>VERIFIED</t>
        </is>
      </c>
      <c r="G64" s="174" t="inlineStr">
        <is>
          <t>24-pack is $1.27/can vs $1.42; the 12-pack SKU is nearly gone</t>
        </is>
      </c>
    </row>
    <row r="65" ht="25.5" customHeight="1" s="171">
      <c r="A65" s="192" t="inlineStr">
        <is>
          <t>Ginger beer</t>
        </is>
      </c>
      <c r="B65" s="229" t="inlineStr">
        <is>
          <t>B97</t>
        </is>
      </c>
      <c r="C65" s="229" t="n">
        <v>1.25</v>
      </c>
      <c r="D65" s="192" t="n">
        <v>1.7</v>
      </c>
      <c r="E65" s="229" t="inlineStr">
        <is>
          <t>+36%</t>
        </is>
      </c>
      <c r="F65" s="229" t="inlineStr">
        <is>
          <t>VERIFIED</t>
        </is>
      </c>
      <c r="G65" s="174" t="inlineStr">
        <is>
          <t>AVAILABILITY, not price. Costco Bundaberg is $1.14/can but out at 93% of warehouses. Cock'n Bull 4-packs are the buyable format</t>
        </is>
      </c>
    </row>
    <row r="66" ht="15" customHeight="1" s="171">
      <c r="A66" s="192" t="inlineStr">
        <is>
          <t>Tonic, 12 oz can</t>
        </is>
      </c>
      <c r="B66" s="229" t="inlineStr">
        <is>
          <t>Bar Add-Ons D7</t>
        </is>
      </c>
      <c r="C66" s="229" t="n">
        <v>0.85</v>
      </c>
      <c r="D66" s="192" t="n">
        <v>0.6</v>
      </c>
      <c r="E66" s="229" t="inlineStr">
        <is>
          <t>-29%</t>
        </is>
      </c>
      <c r="F66" s="229" t="inlineStr">
        <is>
          <t>VERIFIED</t>
        </is>
      </c>
      <c r="G66" s="174" t="inlineStr">
        <is>
          <t>Seagram's 24-pack $12.57 Walmart. The old price was Fever-Tree, whose cans are 5.07 oz not 12</t>
        </is>
      </c>
    </row>
    <row r="67" ht="15" customHeight="1" s="171">
      <c r="A67" s="192" t="inlineStr">
        <is>
          <t>Soda water buffer</t>
        </is>
      </c>
      <c r="B67" s="229" t="inlineStr">
        <is>
          <t>Bar Add-Ons D8</t>
        </is>
      </c>
      <c r="C67" s="229" t="n">
        <v>0.75</v>
      </c>
      <c r="D67" s="192" t="n">
        <v>0.4</v>
      </c>
      <c r="E67" s="229" t="inlineStr">
        <is>
          <t>-47%</t>
        </is>
      </c>
      <c r="F67" s="229" t="inlineStr">
        <is>
          <t>VERIFIED</t>
        </is>
      </c>
      <c r="G67" s="174" t="inlineStr">
        <is>
          <t>Kirkland 35-pack at $13 = $0.371/can</t>
        </is>
      </c>
    </row>
    <row r="68" ht="15" customHeight="1" s="171">
      <c r="A68" s="192" t="inlineStr">
        <is>
          <t>Angostura, 4 oz</t>
        </is>
      </c>
      <c r="B68" s="229" t="inlineStr">
        <is>
          <t>Bar Add-Ons D10</t>
        </is>
      </c>
      <c r="C68" s="229" t="n">
        <v>9</v>
      </c>
      <c r="D68" s="192" t="n">
        <v>12</v>
      </c>
      <c r="E68" s="229" t="inlineStr">
        <is>
          <t>+33%</t>
        </is>
      </c>
      <c r="F68" s="229" t="inlineStr">
        <is>
          <t>VERIFIED</t>
        </is>
      </c>
      <c r="G68" s="174" t="inlineStr">
        <is>
          <t>Total Wine $14.99, Walmart $9.87</t>
        </is>
      </c>
    </row>
    <row r="69" ht="15" customHeight="1" s="171">
      <c r="A69" s="192" t="inlineStr">
        <is>
          <t>Red Bull</t>
        </is>
      </c>
      <c r="B69" s="229" t="inlineStr">
        <is>
          <t>Bar Add-Ons D14</t>
        </is>
      </c>
      <c r="C69" s="229" t="n">
        <v>1.4</v>
      </c>
      <c r="D69" s="192" t="n">
        <v>1.55</v>
      </c>
      <c r="E69" s="229" t="inlineStr">
        <is>
          <t>+11%</t>
        </is>
      </c>
      <c r="F69" s="229" t="inlineStr">
        <is>
          <t>VERIFIED</t>
        </is>
      </c>
      <c r="G69" s="174" t="inlineStr">
        <is>
          <t>Costco 24-pack. Widest warehouse spread of anything checked ($21-45) *** CHECK YELLOW EDITION SEPARATELY (14 Aug 2026): specialty editions often shelf above regular, and this line budgets $1.55/can. Half the buy is now Yellow Edition — see Bar Add-Ons row 14. ***</t>
        </is>
      </c>
    </row>
    <row r="70" ht="15" customHeight="1" s="171">
      <c r="A70" s="192" t="inlineStr">
        <is>
          <t>Coconut water</t>
        </is>
      </c>
      <c r="B70" s="229" t="inlineStr">
        <is>
          <t>Bar Add-Ons D16</t>
        </is>
      </c>
      <c r="C70" s="229" t="n">
        <v>1.1</v>
      </c>
      <c r="D70" s="192" t="n">
        <v>1.25</v>
      </c>
      <c r="E70" s="229" t="inlineStr">
        <is>
          <t>+14%</t>
        </is>
      </c>
      <c r="F70" s="229" t="inlineStr">
        <is>
          <t>VERIFIED</t>
        </is>
      </c>
      <c r="G70" s="174" t="inlineStr">
        <is>
          <t>Vita Coco 18 x 11.1 oz, Costco</t>
        </is>
      </c>
    </row>
    <row r="71" ht="15" customHeight="1" s="171">
      <c r="A71" s="192" t="inlineStr">
        <is>
          <t>Mexican lager, 24-pk</t>
        </is>
      </c>
      <c r="B71" s="229" t="inlineStr">
        <is>
          <t>Packaged Prices C11</t>
        </is>
      </c>
      <c r="C71" s="229" t="n">
        <v>20</v>
      </c>
      <c r="D71" s="192" t="n">
        <v>26.5</v>
      </c>
      <c r="E71" s="229" t="inlineStr">
        <is>
          <t>+33%</t>
        </is>
      </c>
      <c r="F71" s="229" t="inlineStr">
        <is>
          <t>VERIFIED</t>
        </is>
      </c>
      <c r="G71" s="174" t="inlineStr">
        <is>
          <t>*** BIGGEST UNDERSTATEMENT FOUND. $20 was the promo floor; Costco average is $26.80 ***</t>
        </is>
      </c>
    </row>
    <row r="72" ht="15" customHeight="1" s="171">
      <c r="A72" s="192" t="inlineStr">
        <is>
          <t>Kombucha, 48 oz</t>
        </is>
      </c>
      <c r="B72" s="229" t="inlineStr">
        <is>
          <t>Packaged Prices C7</t>
        </is>
      </c>
      <c r="C72" s="229" t="n">
        <v>12</v>
      </c>
      <c r="D72" s="192" t="n">
        <v>9.99</v>
      </c>
      <c r="E72" s="229" t="inlineStr">
        <is>
          <t>-17%</t>
        </is>
      </c>
      <c r="F72" s="229" t="inlineStr">
        <is>
          <t>VERIFIED</t>
        </is>
      </c>
      <c r="G72" s="174" t="inlineStr">
        <is>
          <t>GT's Synergy, Sprouts Reno. See the Clear Mind format problem in the open questions</t>
        </is>
      </c>
    </row>
    <row r="73" ht="15" customHeight="1" s="171">
      <c r="A73" s="192" t="inlineStr">
        <is>
          <t>Sour ale, 6-pk</t>
        </is>
      </c>
      <c r="B73" s="229" t="inlineStr">
        <is>
          <t>Packaged Prices C9</t>
        </is>
      </c>
      <c r="C73" s="229" t="n">
        <v>13</v>
      </c>
      <c r="D73" s="192" t="n">
        <v>12.99</v>
      </c>
      <c r="E73" s="229" t="inlineStr">
        <is>
          <t>settled</t>
        </is>
      </c>
      <c r="F73" s="229" t="inlineStr">
        <is>
          <t>VERIFIED</t>
        </is>
      </c>
      <c r="G73" s="174" t="inlineStr">
        <is>
          <t>Sierra Nevada Wild Little Thing. The placeholder price was right; only the "TBD" needed resolving</t>
        </is>
      </c>
    </row>
    <row r="74" ht="15" customHeight="1" s="171">
      <c r="A74" s="192" t="inlineStr">
        <is>
          <t>Blonde ale, 6-pk</t>
        </is>
      </c>
      <c r="B74" s="229" t="inlineStr">
        <is>
          <t>Packaged Prices C10</t>
        </is>
      </c>
      <c r="C74" s="229" t="n">
        <v>11</v>
      </c>
      <c r="D74" s="192" t="n">
        <v>10.49</v>
      </c>
      <c r="E74" s="229" t="inlineStr">
        <is>
          <t>-5%</t>
        </is>
      </c>
      <c r="F74" s="229" t="inlineStr">
        <is>
          <t>VERIFIED</t>
        </is>
      </c>
      <c r="G74" s="174" t="inlineStr">
        <is>
          <t>Kona Big Wave, Total Wine</t>
        </is>
      </c>
    </row>
    <row r="75" ht="15" customHeight="1" s="171">
      <c r="A75" s="192" t="inlineStr">
        <is>
          <t>Green tea, 12-pk</t>
        </is>
      </c>
      <c r="B75" s="229" t="inlineStr">
        <is>
          <t>Packaged Prices C12</t>
        </is>
      </c>
      <c r="C75" s="229" t="n">
        <v>16</v>
      </c>
      <c r="D75" s="192" t="n">
        <v>18.59</v>
      </c>
      <c r="E75" s="229" t="inlineStr">
        <is>
          <t>+16%</t>
        </is>
      </c>
      <c r="F75" s="229" t="inlineStr">
        <is>
          <t>VERIFIED</t>
        </is>
      </c>
      <c r="G75" s="174" t="inlineStr">
        <is>
          <t>Ito En Oi Ocha, Costco regular. In stock at only ~36% of warehouses</t>
        </is>
      </c>
    </row>
    <row r="76" ht="15" customHeight="1" s="171">
      <c r="A76" s="192" t="inlineStr">
        <is>
          <t>Vodka, 750 ml</t>
        </is>
      </c>
      <c r="B76" s="229" t="inlineStr">
        <is>
          <t>B42</t>
        </is>
      </c>
      <c r="C76" s="229" t="n">
        <v>24</v>
      </c>
      <c r="D76" s="192" t="n">
        <v>15</v>
      </c>
      <c r="E76" s="229" t="inlineStr">
        <is>
          <t>-38%</t>
        </is>
      </c>
      <c r="F76" s="229" t="inlineStr">
        <is>
          <t>VERIFIED</t>
        </is>
      </c>
      <c r="G76" s="174" t="inlineStr">
        <is>
          <t>Tito's, Total Wine</t>
        </is>
      </c>
    </row>
    <row r="77" ht="15" customHeight="1" s="171">
      <c r="A77" s="192" t="inlineStr">
        <is>
          <t>Coconut rum, 750 ml</t>
        </is>
      </c>
      <c r="B77" s="229" t="inlineStr">
        <is>
          <t>B43</t>
        </is>
      </c>
      <c r="C77" s="229" t="n">
        <v>24</v>
      </c>
      <c r="D77" s="192" t="n">
        <v>15.49</v>
      </c>
      <c r="E77" s="229" t="inlineStr">
        <is>
          <t>-35%</t>
        </is>
      </c>
      <c r="F77" s="229" t="inlineStr">
        <is>
          <t>VERIFIED</t>
        </is>
      </c>
      <c r="G77" s="174" t="inlineStr">
        <is>
          <t>Malibu, Total Wine</t>
        </is>
      </c>
    </row>
    <row r="78" ht="15" customHeight="1" s="171">
      <c r="A78" s="192" t="inlineStr">
        <is>
          <t>Bourbon, 750 ml</t>
        </is>
      </c>
      <c r="B78" s="229" t="inlineStr">
        <is>
          <t>B44</t>
        </is>
      </c>
      <c r="C78" s="229" t="n">
        <v>28</v>
      </c>
      <c r="D78" s="192" t="n">
        <v>14</v>
      </c>
      <c r="E78" s="229" t="inlineStr">
        <is>
          <t>-50%</t>
        </is>
      </c>
      <c r="F78" s="229" t="inlineStr">
        <is>
          <t>VERIFIED</t>
        </is>
      </c>
      <c r="G78" s="174" t="inlineStr">
        <is>
          <t>Evan Williams Black. $28 only buys Buffalo Trace</t>
        </is>
      </c>
    </row>
    <row r="79" ht="15" customHeight="1" s="171">
      <c r="A79" s="192" t="inlineStr">
        <is>
          <t>Blanco tequila, 750 ml</t>
        </is>
      </c>
      <c r="B79" s="229" t="inlineStr">
        <is>
          <t>B45</t>
        </is>
      </c>
      <c r="C79" s="229" t="n">
        <v>24</v>
      </c>
      <c r="D79" s="192" t="n">
        <v>26</v>
      </c>
      <c r="E79" s="229" t="inlineStr">
        <is>
          <t>+8%</t>
        </is>
      </c>
      <c r="F79" s="229" t="inlineStr">
        <is>
          <t>VERIFIED</t>
        </is>
      </c>
      <c r="G79" s="174" t="inlineStr">
        <is>
          <t>Espolòn in store</t>
        </is>
      </c>
    </row>
    <row r="80" ht="15" customHeight="1" s="171">
      <c r="A80" s="192" t="inlineStr">
        <is>
          <t>Spiced rum, 750 ml</t>
        </is>
      </c>
      <c r="B80" s="229" t="inlineStr">
        <is>
          <t>B46</t>
        </is>
      </c>
      <c r="C80" s="229" t="n">
        <v>20</v>
      </c>
      <c r="D80" s="192" t="n">
        <v>15.99</v>
      </c>
      <c r="E80" s="229" t="inlineStr">
        <is>
          <t>-20%</t>
        </is>
      </c>
      <c r="F80" s="229" t="inlineStr">
        <is>
          <t>VERIFIED</t>
        </is>
      </c>
      <c r="G80" s="174" t="inlineStr">
        <is>
          <t>Captain Morgan Original</t>
        </is>
      </c>
    </row>
    <row r="81" ht="15" customHeight="1" s="171">
      <c r="A81" s="192" t="inlineStr">
        <is>
          <t>Whiskey, 750 ml</t>
        </is>
      </c>
      <c r="B81" s="229" t="inlineStr">
        <is>
          <t>B47</t>
        </is>
      </c>
      <c r="C81" s="229" t="n">
        <v>22</v>
      </c>
      <c r="D81" s="192" t="n">
        <v>24.99</v>
      </c>
      <c r="E81" s="229" t="inlineStr">
        <is>
          <t>+14%</t>
        </is>
      </c>
      <c r="F81" s="229" t="inlineStr">
        <is>
          <t>VERIFIED</t>
        </is>
      </c>
      <c r="G81" s="174" t="inlineStr">
        <is>
          <t>Jameson. Ole Smoky Pickles is $21.99 for the novelty bottle</t>
        </is>
      </c>
    </row>
    <row r="82" ht="15" customHeight="1" s="171">
      <c r="A82" s="192" t="inlineStr">
        <is>
          <t>Tangerine, per bottle</t>
        </is>
      </c>
      <c r="B82" s="229" t="inlineStr">
        <is>
          <t>B89/B90</t>
        </is>
      </c>
      <c r="C82" s="229" t="inlineStr">
        <is>
          <t>52 oz @ $5</t>
        </is>
      </c>
      <c r="D82" s="192" t="inlineStr">
        <is>
          <t>59 oz @ $4.80</t>
        </is>
      </c>
      <c r="E82" s="229" t="inlineStr">
        <is>
          <t>unit fixed</t>
        </is>
      </c>
      <c r="F82" s="229" t="inlineStr">
        <is>
          <t>VERIFIED</t>
        </is>
      </c>
      <c r="G82" s="174" t="inlineStr">
        <is>
          <t>Perricone Farms 2 x 59 oz, Costco $9.59. In stock at ~63% of warehouses</t>
        </is>
      </c>
    </row>
    <row r="83" ht="15" customHeight="1" s="171">
      <c r="A83" s="192" t="inlineStr">
        <is>
          <t>Tangerine, per quart</t>
        </is>
      </c>
      <c r="B83" s="229" t="inlineStr">
        <is>
          <t>B196</t>
        </is>
      </c>
      <c r="C83" s="229" t="n">
        <v>3.5</v>
      </c>
      <c r="D83" s="192" t="n">
        <v>6.5</v>
      </c>
      <c r="E83" s="229" t="inlineStr">
        <is>
          <t>+86%</t>
        </is>
      </c>
      <c r="F83" s="229" t="inlineStr">
        <is>
          <t>VERIFIED</t>
        </is>
      </c>
      <c r="G83" s="174" t="inlineStr">
        <is>
          <t>Natalie's 32 oz. $3.50 is not achievable for tangerine</t>
        </is>
      </c>
    </row>
    <row r="84" ht="15" customHeight="1" s="171">
      <c r="A84" s="192" t="inlineStr">
        <is>
          <t>Maraschino cherries</t>
        </is>
      </c>
      <c r="B84" s="229" t="inlineStr">
        <is>
          <t>B80</t>
        </is>
      </c>
      <c r="C84" s="229" t="n">
        <v>7.49</v>
      </c>
      <c r="D84" s="192" t="n">
        <v>9.99</v>
      </c>
      <c r="E84" s="229" t="inlineStr">
        <is>
          <t>+33%</t>
        </is>
      </c>
      <c r="F84" s="229" t="inlineStr">
        <is>
          <t>VERIFIED</t>
        </is>
      </c>
      <c r="G84" s="174" t="inlineStr">
        <is>
          <t>Luxardo Costco REGULAR price; $7.49 was a sale. Stocked at only ~24% of warehouses</t>
        </is>
      </c>
    </row>
    <row r="85" ht="15" customHeight="1" s="171">
      <c r="A85" s="192" t="inlineStr">
        <is>
          <t>Grenadine, 25 oz</t>
        </is>
      </c>
      <c r="B85" s="229" t="inlineStr">
        <is>
          <t>B74</t>
        </is>
      </c>
      <c r="C85" s="229" t="n">
        <v>6</v>
      </c>
      <c r="D85" s="192" t="n">
        <v>7.5</v>
      </c>
      <c r="E85" s="229" t="inlineStr">
        <is>
          <t>+25%</t>
        </is>
      </c>
      <c r="F85" s="229" t="inlineStr">
        <is>
          <t>VERIFIED</t>
        </is>
      </c>
      <c r="G85" s="174" t="inlineStr">
        <is>
          <t>Rose's, Smart &amp; Final Reno</t>
        </is>
      </c>
    </row>
    <row r="86" ht="15" customHeight="1" s="171">
      <c r="A86" s="192" t="inlineStr">
        <is>
          <t>ACV, 32 oz</t>
        </is>
      </c>
      <c r="B86" s="229" t="inlineStr">
        <is>
          <t>B130</t>
        </is>
      </c>
      <c r="C86" s="229" t="n">
        <v>5</v>
      </c>
      <c r="D86" s="192" t="n">
        <v>6.17</v>
      </c>
      <c r="E86" s="229" t="inlineStr">
        <is>
          <t>+23%</t>
        </is>
      </c>
      <c r="F86" s="229" t="inlineStr">
        <is>
          <t>VERIFIED</t>
        </is>
      </c>
      <c r="G86" s="174" t="inlineStr">
        <is>
          <t>Bragg organic, Walmart</t>
        </is>
      </c>
    </row>
    <row r="87" ht="15" customHeight="1" s="171">
      <c r="A87" s="192" t="inlineStr">
        <is>
          <t>Tajin, 5 oz</t>
        </is>
      </c>
      <c r="B87" s="229" t="inlineStr">
        <is>
          <t>B110</t>
        </is>
      </c>
      <c r="C87" s="229" t="n">
        <v>4</v>
      </c>
      <c r="D87" s="192" t="n">
        <v>4.68</v>
      </c>
      <c r="E87" s="229" t="inlineStr">
        <is>
          <t>+17%</t>
        </is>
      </c>
      <c r="F87" s="229" t="inlineStr">
        <is>
          <t>VERIFIED</t>
        </is>
      </c>
      <c r="G87" s="174" t="inlineStr">
        <is>
          <t>Walmart</t>
        </is>
      </c>
    </row>
    <row r="88" ht="15" customHeight="1" s="171">
      <c r="A88" s="192" t="inlineStr">
        <is>
          <t>Clamato, 64 oz</t>
        </is>
      </c>
      <c r="B88" s="229" t="inlineStr">
        <is>
          <t>B104</t>
        </is>
      </c>
      <c r="C88" s="229" t="n">
        <v>2.87</v>
      </c>
      <c r="D88" s="192" t="n">
        <v>3.25</v>
      </c>
      <c r="E88" s="229" t="inlineStr">
        <is>
          <t>+13%</t>
        </is>
      </c>
      <c r="F88" s="229" t="inlineStr">
        <is>
          <t>VERIFIED</t>
        </is>
      </c>
      <c r="G88" s="174" t="inlineStr">
        <is>
          <t>Costco warehouse $5.99-6.49 per 2-pack. Costco.com is $10.99 — buy in store</t>
        </is>
      </c>
    </row>
    <row r="89" ht="15" customHeight="1" s="171">
      <c r="A89" s="192" t="inlineStr">
        <is>
          <t>2 L bottles</t>
        </is>
      </c>
      <c r="B89" s="229" t="inlineStr">
        <is>
          <t>B166</t>
        </is>
      </c>
      <c r="C89" s="229" t="n">
        <v>2.48</v>
      </c>
      <c r="D89" s="192" t="n">
        <v>2.78</v>
      </c>
      <c r="E89" s="229" t="inlineStr">
        <is>
          <t>+12%</t>
        </is>
      </c>
      <c r="F89" s="229" t="inlineStr">
        <is>
          <t>VERIFIED</t>
        </is>
      </c>
      <c r="G89" s="174" t="inlineStr">
        <is>
          <t>Walmart</t>
        </is>
      </c>
    </row>
    <row r="90" ht="15" customHeight="1" s="171">
      <c r="A90" s="192" t="inlineStr">
        <is>
          <t>Cucumbers</t>
        </is>
      </c>
      <c r="B90" s="229" t="inlineStr">
        <is>
          <t>B123</t>
        </is>
      </c>
      <c r="C90" s="229" t="n">
        <v>1</v>
      </c>
      <c r="D90" s="192" t="n">
        <v>1.2</v>
      </c>
      <c r="E90" s="229" t="inlineStr">
        <is>
          <t>+20%</t>
        </is>
      </c>
      <c r="F90" s="229" t="inlineStr">
        <is>
          <t>VERIFIED</t>
        </is>
      </c>
      <c r="G90" s="174" t="inlineStr">
        <is>
          <t>Costco English hothouse 3-ct</t>
        </is>
      </c>
    </row>
    <row r="91" ht="15" customHeight="1" s="171">
      <c r="A91" s="192" t="inlineStr">
        <is>
          <t>Lemons</t>
        </is>
      </c>
      <c r="B91" s="229" t="inlineStr">
        <is>
          <t>B100</t>
        </is>
      </c>
      <c r="C91" s="229" t="n">
        <v>0.25</v>
      </c>
      <c r="D91" s="192" t="n">
        <v>0.29</v>
      </c>
      <c r="E91" s="229" t="inlineStr">
        <is>
          <t>+16%</t>
        </is>
      </c>
      <c r="F91" s="229" t="inlineStr">
        <is>
          <t>VERIFIED</t>
        </is>
      </c>
      <c r="G91" s="174" t="inlineStr">
        <is>
          <t>Costco 5 lb bag</t>
        </is>
      </c>
    </row>
    <row r="92" ht="15" customHeight="1" s="171">
      <c r="A92" s="192" t="inlineStr">
        <is>
          <t>Limes</t>
        </is>
      </c>
      <c r="B92" s="229" t="inlineStr">
        <is>
          <t>B112</t>
        </is>
      </c>
      <c r="C92" s="229" t="n">
        <v>0.3</v>
      </c>
      <c r="D92" s="192" t="n">
        <v>0.32</v>
      </c>
      <c r="E92" s="229" t="inlineStr">
        <is>
          <t>+7%</t>
        </is>
      </c>
      <c r="F92" s="229" t="inlineStr">
        <is>
          <t>VERIFIED</t>
        </is>
      </c>
      <c r="G92" s="174" t="inlineStr">
        <is>
          <t>Costco 3 lb bag. A 40 lb case at Chef'Store Reno is $0.21 each — worth ~$15</t>
        </is>
      </c>
    </row>
    <row r="93" ht="15" customHeight="1" s="171">
      <c r="A93" s="192" t="inlineStr">
        <is>
          <t>Dispensers</t>
        </is>
      </c>
      <c r="B93" s="229" t="inlineStr">
        <is>
          <t>Purchase List F69</t>
        </is>
      </c>
      <c r="C93" s="229" t="inlineStr">
        <is>
          <t>28 ea</t>
        </is>
      </c>
      <c r="D93" s="192" t="inlineStr">
        <is>
          <t>17.50 ea</t>
        </is>
      </c>
      <c r="E93" s="229" t="inlineStr">
        <is>
          <t>-38%</t>
        </is>
      </c>
      <c r="F93" s="229" t="inlineStr">
        <is>
          <t>VERIFIED</t>
        </is>
      </c>
      <c r="G93" s="174" t="inlineStr">
        <is>
          <t>Choice 3-gal, WebstaurantStore. $28 was stainless-tier</t>
        </is>
      </c>
    </row>
    <row r="94" ht="15" customHeight="1" s="171">
      <c r="A94" s="192" t="inlineStr">
        <is>
          <t>1 gal containers</t>
        </is>
      </c>
      <c r="B94" s="229" t="inlineStr">
        <is>
          <t>Purchase List F70</t>
        </is>
      </c>
      <c r="C94" s="229" t="inlineStr">
        <is>
          <t>9 ea</t>
        </is>
      </c>
      <c r="D94" s="192" t="inlineStr">
        <is>
          <t>4.35 ea</t>
        </is>
      </c>
      <c r="E94" s="229" t="inlineStr">
        <is>
          <t>-52%</t>
        </is>
      </c>
      <c r="F94" s="229" t="inlineStr">
        <is>
          <t>VERIFIED</t>
        </is>
      </c>
      <c r="G94" s="174" t="inlineStr">
        <is>
          <t>Cambro 4 qt 3-pack at $12.99</t>
        </is>
      </c>
    </row>
    <row r="95" ht="15" customHeight="1" s="171">
      <c r="A95" s="192" t="inlineStr">
        <is>
          <t>Ice tubs</t>
        </is>
      </c>
      <c r="B95" s="229" t="inlineStr">
        <is>
          <t>Purchase List F72</t>
        </is>
      </c>
      <c r="C95" s="229" t="inlineStr">
        <is>
          <t>20 ea</t>
        </is>
      </c>
      <c r="D95" s="192" t="inlineStr">
        <is>
          <t>15 ea</t>
        </is>
      </c>
      <c r="E95" s="229" t="inlineStr">
        <is>
          <t>-25%</t>
        </is>
      </c>
      <c r="F95" s="229" t="inlineStr">
        <is>
          <t>VERIFIED</t>
        </is>
      </c>
      <c r="G95" s="174" t="inlineStr">
        <is>
          <t>Sterilite 20 gal, Walmart. A 27 gal HDX is ~$8-10 and holds more</t>
        </is>
      </c>
    </row>
    <row r="96" ht="15" customHeight="1" s="171">
      <c r="A96" s="192" t="inlineStr">
        <is>
          <t>Fresh mint</t>
        </is>
      </c>
      <c r="B96" s="229" t="inlineStr">
        <is>
          <t>Purchase List F42</t>
        </is>
      </c>
      <c r="C96" s="229" t="n">
        <v>12</v>
      </c>
      <c r="D96" s="192" t="n">
        <v>20</v>
      </c>
      <c r="E96" s="229" t="inlineStr">
        <is>
          <t>+67%</t>
        </is>
      </c>
      <c r="F96" s="229" t="inlineStr">
        <is>
          <t>ESTIMATE</t>
        </is>
      </c>
      <c r="G96" s="174" t="inlineStr">
        <is>
          <t>COSTCO CARRIES NO FRESH SOFT HERBS. Grocery bunches $2-3; Walmart clamshells would put this at ~$21</t>
        </is>
      </c>
    </row>
    <row r="97" ht="15" customHeight="1" s="171">
      <c r="A97" s="192" t="inlineStr">
        <is>
          <t>Apples &amp; pears</t>
        </is>
      </c>
      <c r="B97" s="229" t="inlineStr">
        <is>
          <t>Purchase List F48</t>
        </is>
      </c>
      <c r="C97" s="229" t="n">
        <v>10</v>
      </c>
      <c r="D97" s="192" t="n">
        <v>13</v>
      </c>
      <c r="E97" s="229" t="inlineStr">
        <is>
          <t>+30%</t>
        </is>
      </c>
      <c r="F97" s="229" t="inlineStr">
        <is>
          <t>VERIFIED</t>
        </is>
      </c>
      <c r="G97" s="174" t="inlineStr">
        <is>
          <t>~$0.70 a fruit, but bag minimums mean ~$13 regardless</t>
        </is>
      </c>
    </row>
    <row r="98" ht="25.5" customHeight="1" s="171">
      <c r="A98" s="192" t="inlineStr">
        <is>
          <t>CONFIRMED UNCHANGED</t>
        </is>
      </c>
      <c r="B98" s="229" t="n"/>
      <c r="C98" s="229" t="n"/>
      <c r="D98" s="192" t="n"/>
      <c r="E98" s="229" t="n"/>
      <c r="F98" s="229" t="inlineStr">
        <is>
          <t>VERIFIED</t>
        </is>
      </c>
      <c r="G98" s="174" t="inlineStr">
        <is>
          <t>Base soda $16/35-pk (Reno #25 at $14.49), soda water $13, Torani $8, cream of coconut $3.98, agave $4.75, OJ $7.49, pineapple juice $3.33, watermelon $7, cider $19.99, lemonade REPRICED — now RTD bottles, see row 34, Radler $9.99</t>
        </is>
      </c>
    </row>
    <row r="101" ht="15" customHeight="1" s="171">
      <c r="A101" s="175" t="inlineStr">
        <is>
          <t>STILL OPEN — decisions, not prices</t>
        </is>
      </c>
    </row>
    <row r="102" ht="15" customHeight="1" s="171">
      <c r="A102" s="170" t="inlineStr">
        <is>
          <t>SAKURA SYRUP is not buyable at $9. Monin cherry blossom is an Asia/Europe SKU, WebstaurantStore returns zero results, and the US options are 200 ml novelty bottles at $18-25 — a third the volume for twice the money. Either budget $18 for a small bottle or substitute Torani Rose (750 ml, $8) with a splash of grenadine for the colour. This changes a named Saturday reveal drink, so it is left unpriced pending a call.</t>
        </is>
      </c>
    </row>
    <row r="103" ht="15" customHeight="1" s="171">
      <c r="A103" s="170" t="inlineStr">
        <is>
          <t>ORANGE FANTA cannot be bought as the model assumes. Costco has no single-flavour Fanta multipack — only a 36-count variety (12 orange / 12 pineapple / 12 strawberry). The build needs 33 orange cans. Either buy the Walmart 24-pack at $0.62/can (+35% on that line) or take the variety pack and find uses for the other two flavours. Base soda pricing is left at the blended case rate pending that choice.</t>
        </is>
      </c>
    </row>
    <row r="104" ht="15" customHeight="1" s="171">
      <c r="A104" s="170" t="inlineStr">
        <is>
          <t>LIQUOR FORMAT. Prices above are 750 ml at Total Wine. Kirkland 1.75 L is dramatically cheaper per 750 ml equivalent — vodka $8.35 against $15, coconut rum $8.46 against $15.49, tequila $9.77-13.67 against $26. Switching means changing Assumptions B41 (bottle size) from 25.4 oz to 59.2 oz and rebuying every line in the 1.75 L format. Worth doing if nobody minds the brand; not applied because it is a taste call.</t>
        </is>
      </c>
    </row>
    <row r="105" ht="15" customHeight="1" s="171">
      <c r="A105" s="170" t="inlineStr">
        <is>
          <t>BREW DR. CLEAR MIND HAS NO 48 OZ BOTTLE. It sells in 14 oz bottles and 4 x 12 oz cans; the "48 oz" listings are 4-packs. Costco carry a Brew Dr. variety 6 x 14 oz including Clear Mind at $11.99 regular / $7.99 on instant savings, which is $0.14/oz against $0.21/oz for GT's 48 oz. Moving the Clear Mind side to that pack saves roughly $40 but needs the Packaged Sizing block reworked.</t>
        </is>
      </c>
    </row>
    <row r="106" ht="15" customHeight="1" s="171">
      <c r="A106" s="170" t="inlineStr">
        <is>
          <t>COFFEE GRIND — DECIDED 14 Aug 2026, was open since 2 Aug. Buying Stone Street EXPLICITLY COARSE, 5 lb bags at $72.99, rather than taking the Kirkland drip grind and adding a filtration pass, or grinding 24 lb of SF Bay whole bean on site. Costco carries no coarse grind at any size. The coarse premium is real and accepted: $14.60/lb vs $7.00/lb, +$197.03 on the line. Buy size was priced three ways — 5 x 5 lb $364.95 (chosen), mixed 4 x 5 lb + 4 x 1 lb $360.96, all singles $414.00. Strainer bags on Supplies row 28 / Purchase List row 92 make the coarse grind a lift-and-drain job; they also do every tea steep.</t>
        </is>
      </c>
    </row>
    <row r="107" ht="15" customHeight="1" s="171">
      <c r="A107" s="170" t="inlineStr">
        <is>
          <t>RING COSTCO RENO BEFORE THE DRIVE. Four lines carry real stock risk: Bundaberg ginger beer (out at 93% of warehouses), Luxardo cherries (~24% stocked), Ito En green tea (~36%, and its promo ends within days), and Perricone tangerine juice (~63%). Also verify ReaLime 48 oz exists as a US Costco SKU — only ReaLemon could be confirmed.</t>
        </is>
      </c>
    </row>
    <row r="108" ht="15" customHeight="1" s="171">
      <c r="A108" s="170" t="inlineStr">
        <is>
          <t>ONE PROMO EXPIRES AROUND THE TRIP: the Ito En green tea instant saving takes it from $18.59 to $9.97 — worth buying early. (The Country Time lemonade powder promo is no longer relevant: the lemonade went ready-to-drink 14 Aug 2026, see row 34.)</t>
        </is>
      </c>
    </row>
    <row r="109" ht="15" customHeight="1" s="171">
      <c r="A109" s="170" t="inlineStr">
        <is>
          <t>WATERMELON JUICE IS AN ESTIMATE, NOT A CHECKED PRICE. Assumptions B218/B219 assume a 1 L (33.8 oz) carton at $4.99. It is no longer the only estimate in the model — the two 1 L mixer prices added on 8 Aug 2026 (B236 soda water, B237 tonic) are also unchecked. See the BevMo section below.</t>
        </is>
      </c>
    </row>
    <row r="110" ht="15" customHeight="1" s="171">
      <c r="A110" s="170" t="inlineStr">
        <is>
          <t>BLANCO TEQUILA IS NOW THE BIGGEST SINGLE LIQUOR LINE, and that changes the 1.75 L argument above. Rawhide and Localhost add 40 servings at a full 1.5 oz each, taking blanco from 6 bottles to 9 — about +$78 at the Espolòn price on Assumptions B45. Kirkland Tequila Blanco is $9.77-13.67 per 750 ml equivalent against $26, so switching just this one line to the 1.75 L format saves more than the two new drinks cost. If you only change one liquor format, change this one.</t>
        </is>
      </c>
    </row>
    <row r="112" ht="15" customHeight="1" s="171">
      <c r="A112" s="175" t="inlineStr">
        <is>
          <t>BEVMO SCOUTING TRIP — 8 Aug 2026</t>
        </is>
      </c>
    </row>
    <row r="113" ht="15" customHeight="1" s="171">
      <c r="A113" s="170" t="inlineStr">
        <is>
          <t>BOUGHT: BOTTLED LEMON JUICE, $4.29 / 32 oz ($0.134/oz). Written into Assumptions B227/B228. Cheaper per oz than fresh lemons ($0.193) and it takes ~25 lemons of squeezing out of the two batch jugs. Fresh lemon stays on the per-drink squeezes only. Net effect: lemons 45 to 20, plus 2 bottles. Costs about $1.30 more in total and saves the labour, which is the trade that was wanted.</t>
        </is>
      </c>
    </row>
    <row r="114" ht="15" customHeight="1" s="171">
      <c r="A114" s="170" t="inlineStr">
        <is>
          <t>BOUGHT: LIQUOR POUR SPOUTS, $8.99 / 3-pack. Two packs. New line, Purchase List row 67 and Supplies row 27. Nothing on the list controlled the pour off 27 bottles of liquor.</t>
        </is>
      </c>
    </row>
    <row r="115" ht="15" customHeight="1" s="171">
      <c r="A115" s="170" t="inlineStr">
        <is>
          <t>TRIAL BUY: GUAVA PURÉE, $8.19 / 16.9 oz. One bottle, manual count on Assumptions B231, zero it to cancel. Purée not nectar — the 32 oz guava and passionfruit-orange-guava nectars are diluted, need cooler space and go off once opened. $8.19 walk-in is ~26% over the Reàl case price; buy the case only if the drink makes the board.</t>
        </is>
      </c>
    </row>
    <row r="116" ht="15" customHeight="1" s="171">
      <c r="A116" s="170" t="inlineStr">
        <is>
          <t>DO NOT BUY AT BEVMO — AGAVE NECTAR. Tres Agaves $14.99 / 33.8 oz = $0.443/oz against $0.132/oz already in the model (Assumptions B133, $4.75 / 36 oz). 3.4x. This is the single worst price on the scouting list and agave is in the Monday fresca, the Wednesday Red Flag, the SCOBY Mule, Localhost and both peach teas — getting it wrong is expensive.</t>
        </is>
      </c>
    </row>
    <row r="117" ht="15" customHeight="1" s="171">
      <c r="A117" s="170" t="inlineStr">
        <is>
          <t>DO NOT BUY — MINI CANS. Sprite 6 x 7.5 oz at $5.59 and Squirt 6 x 7.5 oz at $5.69 are $0.124-0.126/oz against $0.038/oz for the 35-pack of 12 oz cans. 3.3x. Worth stating plainly because the mini LOOKS like the fix for the partial-can waste on Assumptions B157: it is not. Even crediting the mini with a 0.9 usable fraction against 0.7 for the 12 oz can, it is still ~2.5x per usable ounce.</t>
        </is>
      </c>
    </row>
    <row r="118" ht="15" customHeight="1" s="171">
      <c r="A118" s="170" t="inlineStr">
        <is>
          <t>DO NOT BUY — 2 L SODA AT BEVMO. 7up 2 L at $3.59 against $2.78 in the model (Assumptions B166, Walmart). +29%. 7up is also in no recipe — Sprite is the lemon-lime base. Buy the 2 Ls at Walmart with the rest.</t>
        </is>
      </c>
    </row>
    <row r="119" ht="15" customHeight="1" s="171">
      <c r="A119" s="170" t="inlineStr">
        <is>
          <t>DECLINED, THEN BOTH REVERSED — PALOMA MIX and TRES AGAVES MARGARITA MIX, both $10.29 / 33.8 oz ($0.305/oz). The original call was that the two tequila builds are deliberately from-scratch: Rawhide is tequila + fresh lime + soda water and nothing else, and Localhost is hibiscus, real lime and agave. BOTH DECISIONS WERE LATER REVERSED — the paloma mix on 8 Aug when Guavascript was built around it (Purchase List row 68), and the margarita mix on 11 Aug when 2 oz went into Localhost (row 90). Rawhide is the one that held: still tequila, lime and soda water and nothing else, now at 6 oz of soda water instead of 8.</t>
        </is>
      </c>
    </row>
    <row r="120" ht="15" customHeight="1" s="171">
      <c r="A120" s="170" t="inlineStr">
        <is>
          <t>DECLINED — PINEAPPLE JUICE, 6 x 8 oz cans / 48 oz. No price recorded, but the Costco 46 oz can is $3.33 = $0.072/oz and the only draw is 82.5 oz into one Thursday jug, where a big can has no waste problem. Small cans solve a problem this line does not have.</t>
        </is>
      </c>
    </row>
    <row r="121" ht="15" customHeight="1" s="171">
      <c r="A121" s="170" t="inlineStr">
        <is>
          <t>DECLINED — MANGO PURÉE, $8.19 / 16.9 oz. Correct format, no menu gap. Nothing on the board wants mango that guava does not want more, and the Reàl case is cheaper if a mango drink ever happens. Reconsider only as a second trial bottle alongside the guava.</t>
        </is>
      </c>
    </row>
    <row r="122" ht="15" customHeight="1" s="171">
      <c r="A122" s="170" t="inlineStr">
        <is>
          <t>GEAR, NOTED NOT BOUGHT — cocktail shaker $19.99 (Supplies row 10 wants 2 = $40), muddler $10 (row 7 wants 2 = $20). Both are already on the Supplies list and both are cheaper on Amazon / restaurant supply. BevMo is the backup if the order does not land in time.</t>
        </is>
      </c>
    </row>
    <row r="123" ht="15" customHeight="1" s="171">
      <c r="A123" s="175" t="inlineStr">
        <is>
          <t>CONTAINER FORMATS — 8 Aug 2026</t>
        </is>
      </c>
    </row>
    <row r="124" ht="15" customHeight="1" s="171">
      <c r="A124" s="170" t="inlineStr">
        <is>
          <t>CONTAINER FORMAT PASS — 8 Aug 2026. Three formats, one rule each, replacing a mix of hand-typed bottle counts and everything-in-cans. CANS for the built-to-order dirty sodas, where the waste factor on B157 is real. 2 L for anything a jug batch drinks, poured out in one go with no waste — and now DERIVED from the jug recipes rather than remembered. 1 L for the bar-service mixers, soda water and tonic.</t>
        </is>
      </c>
    </row>
    <row r="125" ht="15" customHeight="1" s="171">
      <c r="A125" s="170" t="inlineStr">
        <is>
          <t>SODA WATER: 214 cans / 7 cases at $91 becomes 59 x 1 L at an estimated $79.65. This was the worst format mismatch in the workbook — 960 of the 1558 oz is Italian sodas at 8 oz a serving, which is two-thirds of a can wasted or a flat second pour every time, and the model was already docking it 30% for exactly that (Other Consumables D20 carried the B157 waste factor). A recapped 1 L bottle pours four Italian sodas and gets a 0.9 usable fraction instead (B238).</t>
        </is>
      </c>
    </row>
    <row r="126" ht="15" customHeight="1" s="171">
      <c r="A126" s="170" t="inlineStr">
        <is>
          <t>TONIC: 24 x 12 oz cans at $14.40 becomes 9 x 1 L at an estimated $13.50 — same ~290 oz. Tonic is a 3-4 oz splash; the can was never the right unit.</t>
        </is>
      </c>
    </row>
    <row r="127" ht="15" customHeight="1" s="171">
      <c r="A127" s="170" t="inlineStr">
        <is>
          <t>2 L IS NOW DERIVED, NOT TYPED. Base Soda — Cans column G reads the jug draw in the new column I and sizes bottles off it; column J is the manual override for 2 L no jug asks for. The only soda a jug actually drinks is Sprite (82.5 oz into the Sunday Cherry Bomb), which already resolved to the 2 bottles that were hand-typed there — so no number moved, but it will now follow the recipes on its own. Mountain Dew keeps its 2 bottles via column J: it is a build, not a jug, and the recapped bottle beats nine opened cans.</t>
        </is>
      </c>
    </row>
    <row r="128" ht="15" customHeight="1" s="171">
      <c r="A128" s="170" t="inlineStr">
        <is>
          <t>TWO NEW UNCHECKED PRICES. B236 (soda water, $1.35/L) and B237 (tonic, $1.50/L) are estimates, not listings. Soda water is the one that matters — 59 bottles, so every 10c is $6. VERIFY BOTH ON THE SHOP RUN. The old $13/35-can case on B22 is kept as LEGACY in case the format goes back.</t>
        </is>
      </c>
    </row>
    <row r="130" ht="15" customHeight="1" s="171">
      <c r="A130" s="175" t="inlineStr">
        <is>
          <t>NEW DRINK — GUAVASCRIPT, 8 Aug 2026</t>
        </is>
      </c>
    </row>
    <row r="131" ht="15" customHeight="1" s="171">
      <c r="A131" s="170" t="inlineStr">
        <is>
          <t>The guava stopped being a trial bottle and became a real build: 3 oz paloma mixer + 0.5 oz guava purée + 4.5 oz soda water over ice, salt or Tajin rim, optional 1.5 oz blanco tequila or vodka. 25 servings. It is the 21st built-to-order drink and the first addition since the tab was laid out, so the rollups on Other Consumables, Base Soda — Cans and Jug Recipes were widened from row 22 to row 23 and the total row moved from 23 to 24.</t>
        </is>
      </c>
    </row>
    <row r="132" ht="15" customHeight="1" s="171">
      <c r="A132" s="170" t="inlineStr">
        <is>
          <t>THIS DRINK REVERSES A DECLINE. The paloma mixer was on the DO-NOT-BUY list from the BevMo trip at $0.305/oz, on the grounds that the two tequila builds are deliberately from-scratch. It is back because the drink was designed around it. Cost is real: ~$0.93 of mixer per cup, roughly triple a normal canned-base build, and 3 bottles at $30.87 for 25 servings. The from-scratch alternative — Squirt or grapefruit juice + fresh lime + agave, all already bought — is a fraction of the price and a slightly different drink.</t>
        </is>
      </c>
    </row>
    <row r="133" ht="15" customHeight="1" s="171">
      <c r="A133" s="170" t="inlineStr">
        <is>
          <t>GUAVA PURÉE IS NOW DERIVED, not a manual count. Assumptions B231 is superseded and read by nothing; the bottle count comes off Other Consumables row 54 like every other purée. To kill the drink, zero its servings on the recipe row and both the guava and the paloma mixer fall to zero with it.</t>
        </is>
      </c>
    </row>
    <row r="135" ht="15" customHeight="1" s="171">
      <c r="A135" s="170" t="inlineStr">
        <is>
          <t>CLEAR CACHE MOVED OFF FRESH LEMON ONTO YUZU, 10 Aug 2026</t>
        </is>
      </c>
    </row>
    <row r="136" ht="15" customHeight="1" s="171">
      <c r="A136" s="170" t="inlineStr">
        <is>
          <t>Recipe row 14 swaps 0.5 oz of fresh lemon for 0.5 oz of bottled yuzu juice. Yuzu is floral and aromatic-bitter where lemon is flatly sour, which is the point against the rosemary-mint-sage Clear Mind kombucha. It also removes the last squeezing job from a drink that is otherwise pour-and-go.</t>
        </is>
      </c>
    </row>
    <row r="137" ht="15" customHeight="1" s="171">
      <c r="A137" s="170" t="inlineStr">
        <is>
          <t>THIS IS THE MOST EXPENSIVE INGREDIENT DECISION IN THE WORKBOOK PER SERVING. $20 / 13 oz = $1.54/oz against $0.193/oz for fresh lemon — eight times the price, and it beats the paloma mixer and the purées to the top of the per-oz table. Net effect on the buy: lemons fall 20 to 8 (-$3.48), yuzu adds 2 bottles (+$40), so about +$36.50 for one 30-serving drink. THE SECOND BOTTLE IS THE SOFT PART OF THAT: 15 oz of requirement against a 13 oz bottle. Sizing Clear Cache at 26 servings or pouring 0.4 oz brings it to one bottle and halves the cost, and the drink does not notice either change. Assumptions B245/B246 hold both numbers.</t>
        </is>
      </c>
    </row>
    <row r="138" ht="15" customHeight="1" s="171">
      <c r="A138" s="170" t="inlineStr">
        <is>
          <t>If the cost is not wanted, reverting is two cells: put 'Lemon juice (fresh)' back into F11 (SCOBY Mule) and/or H14 (Clear Cache) on 'Dirty Soda - Built Drinks' and every line above re-derives itself, including the lemon count and its shopping line.</t>
        </is>
      </c>
    </row>
    <row r="140" ht="15" customHeight="1" s="171">
      <c r="A140" s="170" t="inlineStr">
        <is>
          <t>FRESH LEMON RETIRED ENTIRELY — SCOBY MULE ONTO YUZU, 10 Aug 2026</t>
        </is>
      </c>
    </row>
    <row r="141" ht="15" customHeight="1" s="171">
      <c r="A141" s="170" t="inlineStr">
        <is>
          <t>The SCOBY Mule followed Clear Cache: 0.5 oz of fresh lemon out, 0.5 oz of bottled yuzu in. Bought for the prep, not the flavour — with both builds moved there is no fresh lemon anywhere on the bar, nothing to squeeze but limes, and no citrus that has to be kept cold or cut ahead of service.</t>
        </is>
      </c>
    </row>
    <row r="142" ht="15" customHeight="1" s="171">
      <c r="A142" s="170" t="inlineStr">
        <is>
          <t>THE BUY: lemons 8 to 0 (-$2.32), yuzu 2 bottles (+$40). SIZED WITHOUT THE 15% BUFFER, decided 11 Aug 2026 — 25 oz of requirement against 26 oz in two bottles. The buffer on its own would have bought a third bottle at $20, which is a 50% cost increase to insure against one spill. The trade is accepted and written into 'Other Consumables' row 56: this is the only unbuffered line in the model, and it is jiggered every pour.</t>
        </is>
      </c>
    </row>
    <row r="143" ht="15" customHeight="1" s="171">
      <c r="A143" s="170" t="inlineStr">
        <is>
          <t>SAME DAY, THE RADLER LOST ITS GARNISH — no grapefruit wedge, handed over as a half pour on ice with an optional rim. That takes 56 wedges off the grapefruit line, which falls 15 to 10 (-$6) and is now sour ale wheels only. A splash of paloma mixer is noted as a bartender's option on the Bar Add-Ons tab and is deliberately NOT sized or costed — it would come out of Guavascript's buffer.</t>
        </is>
      </c>
    </row>
    <row r="144" ht="15" customHeight="1" s="171">
      <c r="A144" s="170" t="inlineStr">
        <is>
          <t>NET: about +$11.68. Reverting any of it is one cell — put 'Lemon juice (fresh)' back into a Syrup A/B slot and the lemon count and its shopping line re-derive themselves.</t>
        </is>
      </c>
    </row>
    <row r="146" ht="15" customHeight="1" s="171">
      <c r="A146" s="170" t="inlineStr">
        <is>
          <t>LOCALHOST GAINS MARGARITA MIXER, RAWHIDE LOSES SODA WATER — 11 Aug 2026</t>
        </is>
      </c>
    </row>
    <row r="147" ht="15" customHeight="1" s="171">
      <c r="A147" s="170" t="inlineStr">
        <is>
          <t>Localhost takes Tres Agaves margarita mix, priced off the paloma mix at $10.29 / 33.8 oz. RAISED TO 4 oz A SERVING on 11 Aug 2026 when the drink dropped its hibiscus and became a standard margarita: 80 oz across 20 servings -&gt; 3 bottles, $30.87. 4 oz of mixer to 1.5 oz of tequila is the mixer's own ratio. THE BUILD'S OWN 1 oz OF FRESH LIME AND 0.5 oz OF AGAVE ARE OPTIONAL — the mixer contains both, so they are added to taste. Neither was removed from the model: limes and agave are bought for eight other drinks regardless, so carrying them costs nothing extra.</t>
        </is>
      </c>
    </row>
    <row r="148" ht="15" customHeight="1" s="171">
      <c r="A148" s="170" t="inlineStr">
        <is>
          <t>Rawhide's soda water goes 8 oz to 6, bringing it to exactly the 8 oz house pour and taking 40 oz off the soda water line. It stays the only from-scratch tequila build and the only genuinely dry thing on the board.</t>
        </is>
      </c>
    </row>
    <row r="149" ht="15" customHeight="1" s="171">
      <c r="A149" s="170" t="inlineStr">
        <is>
          <t>WHY THE HIBISCUS WENT: the drink could not be poured unless someone had cold-steeped flower the night before, and once the Daily Tea standing tea started drawing on the same bag that prep was competing with itself. Dropping it releases 1.8 oz of flower to the tea rotation and removes a dependency from an all-week drink. Assumptions B223 is zeroed, not deleted — set it back to 0.09 to restore the hibiscus margarita.</t>
        </is>
      </c>
    </row>
  </sheetData>
  <mergeCells count="1">
    <mergeCell ref="A3:G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64"/>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9" activeCellId="0" sqref="B9"/>
    </sheetView>
  </sheetViews>
  <sheetFormatPr baseColWidth="8" defaultColWidth="8.4296875" defaultRowHeight="15" zeroHeight="0" outlineLevelRow="0"/>
  <cols>
    <col width="50" customWidth="1" style="170" min="1" max="1"/>
    <col width="22" customWidth="1" style="170" min="2" max="2"/>
    <col width="12" customWidth="1" style="170" min="3" max="3"/>
    <col width="15" customWidth="1" style="170" min="4" max="4"/>
    <col width="12" customWidth="1" style="170" min="5" max="5"/>
    <col width="14" customWidth="1" style="170" min="6" max="6"/>
    <col width="17" customWidth="1" style="170" min="7" max="7"/>
  </cols>
  <sheetData>
    <row r="1" ht="17.25" customHeight="1" s="171">
      <c r="A1" s="172" t="inlineStr">
        <is>
          <t>Drink Totals &amp; Cost by Section</t>
        </is>
      </c>
    </row>
    <row r="3" ht="31.5" customHeight="1" s="171">
      <c r="A3" s="199" t="inlineStr">
        <is>
          <t>Live-linked to every other tab. Drinks come from Kegs / Daily Schedule / Recipes; costs roll up from the Purchase List Category column, then Section C splits each shared pool across the four drink types by a stated basis, so no type is over- or under-charged.</t>
        </is>
      </c>
    </row>
    <row r="4" ht="50.25" customHeight="1" s="171">
      <c r="A4" s="174" t="inlineStr">
        <is>
          <t>PACKAGED (POST-KEG) VERSION — the 'Kegs' cost category on row 24 is now packaged beer, cider, kombucha and green tea, and 'Rental/gas' on row 26 has fallen to $0. Drink counts and every allocation basis are unchanged, because the swap fills exactly the same servings.</t>
        </is>
      </c>
    </row>
    <row r="5" ht="15" customHeight="1" s="171">
      <c r="A5" s="192" t="inlineStr">
        <is>
          <t>A. DRINKS BY TYPE</t>
        </is>
      </c>
    </row>
    <row r="6" ht="25.5" customHeight="1" s="171">
      <c r="A6" s="200" t="inlineStr">
        <is>
          <t>Drink type</t>
        </is>
      </c>
      <c r="B6" s="200" t="inlineStr">
        <is>
          <t>Drinks</t>
        </is>
      </c>
      <c r="C6" s="200" t="inlineStr">
        <is>
          <t>Share</t>
        </is>
      </c>
      <c r="D6" s="200" t="inlineStr">
        <is>
          <t>Cost</t>
        </is>
      </c>
      <c r="E6" s="200" t="inlineStr">
        <is>
          <t>$ / drink</t>
        </is>
      </c>
      <c r="F6" s="200" t="n"/>
      <c r="G6" s="200" t="n"/>
    </row>
    <row r="7" ht="15" customHeight="1" s="171">
      <c r="A7" s="201" t="inlineStr">
        <is>
          <t>Straight pour — cold can or bottle handed over</t>
        </is>
      </c>
      <c r="B7" s="203">
        <f>'Beverage Lines'!$C$13</f>
        <v/>
      </c>
      <c r="C7" s="236">
        <f>B7/$B$12</f>
        <v/>
      </c>
      <c r="D7" s="205">
        <f>D49</f>
        <v/>
      </c>
      <c r="E7" s="205">
        <f>D7/B7</f>
        <v/>
      </c>
      <c r="F7" s="201" t="n"/>
      <c r="G7" s="201" t="n"/>
    </row>
    <row r="8" ht="15" customHeight="1" s="171">
      <c r="A8" s="201" t="inlineStr">
        <is>
          <t>Jug — nightly 10 L daily special</t>
        </is>
      </c>
      <c r="B8" s="203">
        <f>SUM('Jug Recipes'!$E$4:$E$15)</f>
        <v/>
      </c>
      <c r="C8" s="236">
        <f>B8/$B$12</f>
        <v/>
      </c>
      <c r="D8" s="205">
        <f>E49</f>
        <v/>
      </c>
      <c r="E8" s="205">
        <f>D8/B8</f>
        <v/>
      </c>
      <c r="F8" s="201" t="n"/>
      <c r="G8" s="201" t="n"/>
    </row>
    <row r="9" ht="15" customHeight="1" s="171">
      <c r="A9" s="201" t="inlineStr">
        <is>
          <t>Built off a beverage line (Michelada, Tang, both SCOBYs, Clear Cache, Sakura)</t>
        </is>
      </c>
      <c r="B9" s="203">
        <f>('Dirty Soda - Built Drinks'!$B$3+'Dirty Soda - Built Drinks'!$B$4+'Dirty Soda - Built Drinks'!$B$11+'Dirty Soda - Built Drinks'!$B$13+'Dirty Soda - Built Drinks'!$B$14+'Dirty Soda - Built Drinks'!$B$20)</f>
        <v/>
      </c>
      <c r="C9" s="236">
        <f>B9/$B$12</f>
        <v/>
      </c>
      <c r="D9" s="205">
        <f>F49</f>
        <v/>
      </c>
      <c r="E9" s="205">
        <f>D9/B9</f>
        <v/>
      </c>
      <c r="F9" s="201" t="n"/>
      <c r="G9" s="201" t="n"/>
    </row>
    <row r="10" ht="15" customHeight="1" s="171">
      <c r="A10" s="201" t="inlineStr">
        <is>
          <t>Dirty soda — canned base</t>
        </is>
      </c>
      <c r="B10" s="203">
        <f>'Dirty Soda - Built Drinks'!$B$24-('Dirty Soda - Built Drinks'!$B$3+'Dirty Soda - Built Drinks'!$B$4+'Dirty Soda - Built Drinks'!$B$11+'Dirty Soda - Built Drinks'!$B$13+'Dirty Soda - Built Drinks'!$B$14+'Dirty Soda - Built Drinks'!$B$20)</f>
        <v/>
      </c>
      <c r="C10" s="236">
        <f>B10/$B$12</f>
        <v/>
      </c>
      <c r="D10" s="205">
        <f>G49</f>
        <v/>
      </c>
      <c r="E10" s="205">
        <f>D10/B10</f>
        <v/>
      </c>
      <c r="F10" s="201" t="n"/>
      <c r="G10" s="201" t="n"/>
    </row>
    <row r="11" ht="15" customHeight="1" s="171">
      <c r="A11" s="208" t="inlineStr">
        <is>
          <t>Standalone — a can or bottle taken from the cooler</t>
        </is>
      </c>
      <c r="B11" s="209">
        <f>('Bar Add-Ons'!B14-CEILING('Dirty Soda - Built Drinks'!$B$16*'Dirty Soda - Built Drinks'!$E$16/Assumptions!$B$174,1))+'Bar Add-Ons'!B16+Assumptions!$B$169</f>
        <v/>
      </c>
      <c r="C11" s="237">
        <f>B11/$B$12</f>
        <v/>
      </c>
      <c r="D11" s="238">
        <f>'Bar Add-Ons'!E14+'Bar Add-Ons'!E15+'Bar Add-Ons'!E16</f>
        <v/>
      </c>
      <c r="E11" s="212">
        <f>D11/B11</f>
        <v/>
      </c>
      <c r="F11" s="208" t="n"/>
      <c r="G11" s="208" t="n"/>
    </row>
    <row r="12" ht="15" customHeight="1" s="171">
      <c r="A12" s="239" t="inlineStr">
        <is>
          <t>TOTAL DRINKS / DIRECTLY ATTRIBUTED COST</t>
        </is>
      </c>
      <c r="B12" s="201">
        <f>SUM(B7:B11)</f>
        <v/>
      </c>
      <c r="C12" s="240">
        <f>SUM(C7:C11)</f>
        <v/>
      </c>
      <c r="D12" s="241">
        <f>SUM(D7:D11)</f>
        <v/>
      </c>
      <c r="E12" s="242">
        <f>D12/B12</f>
        <v/>
      </c>
      <c r="F12" s="201" t="n"/>
      <c r="G12" s="201" t="n"/>
    </row>
    <row r="13" ht="15" customHeight="1" s="171">
      <c r="A13" s="208" t="inlineStr">
        <is>
          <t>Shared cost — not tied to one drink type</t>
        </is>
      </c>
      <c r="B13" s="208" t="n"/>
      <c r="C13" s="208" t="n"/>
      <c r="D13" s="238">
        <f>D29+D30+D31+D32+D33-D11</f>
        <v/>
      </c>
      <c r="E13" s="212" t="n"/>
      <c r="F13" s="208" t="n"/>
      <c r="G13" s="208" t="n"/>
    </row>
    <row r="14" ht="15" customHeight="1" s="171">
      <c r="A14" s="192" t="inlineStr">
        <is>
          <t>TOTAL PROGRAM COST (excl. refundable deposits)</t>
        </is>
      </c>
      <c r="D14" s="235">
        <f>D12+D13</f>
        <v/>
      </c>
      <c r="E14" s="227">
        <f>D14/B12</f>
        <v/>
      </c>
    </row>
    <row r="15" ht="45.75" customHeight="1" s="171">
      <c r="A15" s="174" t="inlineStr">
        <is>
          <t>The built drinks pour off a beverage line but are counted separately because that is where their build cost sits. STANDALONE (row 11) is Red Bull, coconut water and the Grapefruit Radler — cans a camper takes from the cooler with no bartender involved. They were previously left out of the drink count entirely; they are real drinks, so they are now counted and carry their own cost, which is deducted from the shared pool on row 13 so nothing is double-charged. The 12 Red Bulls consumed building Catboy Piss are netted out.</t>
        </is>
      </c>
    </row>
    <row r="17" ht="15" customHeight="1" s="171">
      <c r="A17" s="192" t="inlineStr">
        <is>
          <t>B. COST BY SECTION — straight from the Purchase List categories</t>
        </is>
      </c>
    </row>
    <row r="18" ht="25.5" customHeight="1" s="171">
      <c r="A18" s="200" t="inlineStr">
        <is>
          <t>Section</t>
        </is>
      </c>
      <c r="B18" s="200" t="inlineStr">
        <is>
          <t>Purchase List category</t>
        </is>
      </c>
      <c r="C18" s="200" t="inlineStr">
        <is>
          <t>Share</t>
        </is>
      </c>
      <c r="D18" s="200" t="inlineStr">
        <is>
          <t>Cost</t>
        </is>
      </c>
      <c r="E18" s="200" t="inlineStr">
        <is>
          <t>$ / drink</t>
        </is>
      </c>
      <c r="F18" s="200" t="inlineStr">
        <is>
          <t>Rolls up to</t>
        </is>
      </c>
      <c r="G18" s="200" t="n"/>
    </row>
    <row r="19" ht="25.5" customHeight="1" s="171">
      <c r="A19" s="201" t="inlineStr">
        <is>
          <t>Base soda, lemonade, horchata &amp; soda water</t>
        </is>
      </c>
      <c r="B19" s="204" t="inlineStr">
        <is>
          <t>Soda</t>
        </is>
      </c>
      <c r="C19" s="236">
        <f>D19/$D$34</f>
        <v/>
      </c>
      <c r="D19" s="205">
        <f>SUMIF('Purchase List'!$C$5:$C$109,"Soda",'Purchase List'!$F$5:$F$109)</f>
        <v/>
      </c>
      <c r="E19" s="205">
        <f>D19/$B$12</f>
        <v/>
      </c>
      <c r="F19" s="243" t="inlineStr">
        <is>
          <t>Jug + canned dirty soda</t>
        </is>
      </c>
      <c r="G19" s="201" t="n"/>
    </row>
    <row r="20" ht="15" customHeight="1" s="171">
      <c r="A20" s="201" t="inlineStr">
        <is>
          <t>Syrups &amp; fruit purees</t>
        </is>
      </c>
      <c r="B20" s="204" t="inlineStr">
        <is>
          <t>Syrup</t>
        </is>
      </c>
      <c r="C20" s="236">
        <f>D20/$D$34</f>
        <v/>
      </c>
      <c r="D20" s="205">
        <f>SUMIF('Purchase List'!$C$5:$C$109,"Syrup",'Purchase List'!$F$5:$F$109)</f>
        <v/>
      </c>
      <c r="E20" s="205">
        <f>D20/$B$12</f>
        <v/>
      </c>
      <c r="F20" s="243" t="inlineStr">
        <is>
          <t>Jug + built + canned</t>
        </is>
      </c>
      <c r="G20" s="201" t="n"/>
    </row>
    <row r="21" ht="25.5" customHeight="1" s="171">
      <c r="A21" s="201" t="inlineStr">
        <is>
          <t>Cream of coconut</t>
        </is>
      </c>
      <c r="B21" s="204" t="inlineStr">
        <is>
          <t>Dairy/cream</t>
        </is>
      </c>
      <c r="C21" s="236">
        <f>D21/$D$34</f>
        <v/>
      </c>
      <c r="D21" s="205">
        <f>SUMIF('Purchase List'!$C$5:$C$109,"Dairy/cream",'Purchase List'!$F$5:$F$109)</f>
        <v/>
      </c>
      <c r="E21" s="205">
        <f>D21/$B$12</f>
        <v/>
      </c>
      <c r="F21" s="243" t="inlineStr">
        <is>
          <t>Jug + canned dirty soda</t>
        </is>
      </c>
      <c r="G21" s="201" t="n"/>
    </row>
    <row r="22" ht="15" customHeight="1" s="171">
      <c r="A22" s="201" t="inlineStr">
        <is>
          <t>Built-drink extras + rim salt</t>
        </is>
      </c>
      <c r="B22" s="204" t="inlineStr">
        <is>
          <t>Built drink</t>
        </is>
      </c>
      <c r="C22" s="236">
        <f>D22/$D$34</f>
        <v/>
      </c>
      <c r="D22" s="205">
        <f>SUMIF('Purchase List'!$C$5:$C$109,"Built drink",'Purchase List'!$F$5:$F$109)</f>
        <v/>
      </c>
      <c r="E22" s="205">
        <f>D22/$B$12</f>
        <v/>
      </c>
      <c r="F22" s="243" t="inlineStr">
        <is>
          <t>Built drinks</t>
        </is>
      </c>
      <c r="G22" s="201" t="n"/>
    </row>
    <row r="23" ht="15" customHeight="1" s="171">
      <c r="A23" s="201" t="inlineStr">
        <is>
          <t>Fresh produce (limes and the watermelon juice for the canned-base builds; cucumber only if cubes happen)</t>
        </is>
      </c>
      <c r="B23" s="204" t="inlineStr">
        <is>
          <t>Fresh produce</t>
        </is>
      </c>
      <c r="C23" s="236">
        <f>D23/$D$34</f>
        <v/>
      </c>
      <c r="D23" s="205">
        <f>SUMIF('Purchase List'!$C$5:$C$109,"Fresh produce",'Purchase List'!$F$5:$F$109)</f>
        <v/>
      </c>
      <c r="E23" s="205">
        <f>D23/$B$12</f>
        <v/>
      </c>
      <c r="F23" s="243" t="inlineStr">
        <is>
          <t>Canned dirty soda</t>
        </is>
      </c>
      <c r="G23" s="201" t="n"/>
    </row>
    <row r="24" ht="15" customHeight="1" s="171">
      <c r="A24" s="201" t="inlineStr">
        <is>
          <t>Packaged beverage — cider, beer, kombucha, green tea</t>
        </is>
      </c>
      <c r="B24" s="204" t="inlineStr">
        <is>
          <t>Beverage</t>
        </is>
      </c>
      <c r="C24" s="236">
        <f>D24/$D$34</f>
        <v/>
      </c>
      <c r="D24" s="205">
        <f>SUMIF('Purchase List'!$C$5:$C$109,"Beverage",'Purchase List'!$F$5:$F$109)</f>
        <v/>
      </c>
      <c r="E24" s="205">
        <f>D24/$B$12</f>
        <v/>
      </c>
      <c r="F24" s="243" t="inlineStr">
        <is>
          <t>Keg + built drinks</t>
        </is>
      </c>
      <c r="G24" s="201" t="n"/>
    </row>
    <row r="25" ht="15" customHeight="1" s="171">
      <c r="A25" s="201" t="inlineStr">
        <is>
          <t>Beverage add-ons (aloe, lychee)</t>
        </is>
      </c>
      <c r="B25" s="204" t="inlineStr">
        <is>
          <t>Beverage add-on</t>
        </is>
      </c>
      <c r="C25" s="236">
        <f>D25/$D$34</f>
        <v/>
      </c>
      <c r="D25" s="205">
        <f>SUMIF('Purchase List'!$C$5:$C$109,"Beverage add-on",'Purchase List'!$F$5:$F$109)</f>
        <v/>
      </c>
      <c r="E25" s="205">
        <f>D25/$B$12</f>
        <v/>
      </c>
      <c r="F25" s="243" t="inlineStr">
        <is>
          <t>Keg</t>
        </is>
      </c>
      <c r="G25" s="201" t="n"/>
    </row>
    <row r="26" ht="15" customHeight="1" s="171">
      <c r="A26" s="201" t="inlineStr">
        <is>
          <t>Jockey box rental, CO2, lines — $0 with no kegs</t>
        </is>
      </c>
      <c r="B26" s="204" t="inlineStr">
        <is>
          <t>Rental/gas</t>
        </is>
      </c>
      <c r="C26" s="236">
        <f>D26/$D$34</f>
        <v/>
      </c>
      <c r="D26" s="205">
        <f>SUMIF('Purchase List'!$C$5:$C$109,"Rental/gas",'Purchase List'!$F$5:$F$109)</f>
        <v/>
      </c>
      <c r="E26" s="205">
        <f>D26/$B$12</f>
        <v/>
      </c>
      <c r="F26" s="243" t="inlineStr">
        <is>
          <t>Keg + built drinks</t>
        </is>
      </c>
      <c r="G26" s="201" t="n"/>
    </row>
    <row r="27" ht="15" customHeight="1" s="171">
      <c r="A27" s="201" t="inlineStr">
        <is>
          <t>Ice tubs for the cold stock</t>
        </is>
      </c>
      <c r="B27" s="204" t="inlineStr">
        <is>
          <t>Hardware</t>
        </is>
      </c>
      <c r="C27" s="236">
        <f>D27/$D$34</f>
        <v/>
      </c>
      <c r="D27" s="205">
        <f>SUMIF('Purchase List'!$C$5:$C$109,"Hardware",'Purchase List'!$F$5:$F$109)</f>
        <v/>
      </c>
      <c r="E27" s="205">
        <f>D27/$B$12</f>
        <v/>
      </c>
      <c r="F27" s="243" t="inlineStr">
        <is>
          <t>Keg + built drinks</t>
        </is>
      </c>
      <c r="G27" s="201" t="n"/>
    </row>
    <row r="28" ht="15" customHeight="1" s="171">
      <c r="A28" s="201" t="inlineStr">
        <is>
          <t>Daily special (jug) ingredients</t>
        </is>
      </c>
      <c r="B28" s="204" t="inlineStr">
        <is>
          <t>Daily Special</t>
        </is>
      </c>
      <c r="C28" s="236">
        <f>D28/$D$34</f>
        <v/>
      </c>
      <c r="D28" s="205">
        <f>SUMIF('Purchase List'!$C$5:$C$109,"Daily Special",'Purchase List'!$F$5:$F$109)</f>
        <v/>
      </c>
      <c r="E28" s="205">
        <f>D28/$B$12</f>
        <v/>
      </c>
      <c r="F28" s="243" t="inlineStr">
        <is>
          <t>Jug</t>
        </is>
      </c>
      <c r="G28" s="201" t="n"/>
    </row>
    <row r="29" ht="15" customHeight="1" s="171">
      <c r="A29" s="201" t="inlineStr">
        <is>
          <t>Liquor (optional add-on)</t>
        </is>
      </c>
      <c r="B29" s="204" t="inlineStr">
        <is>
          <t>Liquor</t>
        </is>
      </c>
      <c r="C29" s="236">
        <f>D29/$D$34</f>
        <v/>
      </c>
      <c r="D29" s="205">
        <f>SUMIF('Purchase List'!$C$5:$C$109,"Liquor",'Purchase List'!$F$5:$F$109)</f>
        <v/>
      </c>
      <c r="E29" s="205">
        <f>D29/$B$12</f>
        <v/>
      </c>
      <c r="F29" s="243" t="inlineStr">
        <is>
          <t>Shared</t>
        </is>
      </c>
      <c r="G29" s="201" t="n"/>
    </row>
    <row r="30" ht="15" customHeight="1" s="171">
      <c r="A30" s="201" t="inlineStr">
        <is>
          <t>Fresh garnish &amp; produce</t>
        </is>
      </c>
      <c r="B30" s="204" t="inlineStr">
        <is>
          <t>Garnish</t>
        </is>
      </c>
      <c r="C30" s="236">
        <f>D30/$D$34</f>
        <v/>
      </c>
      <c r="D30" s="205">
        <f>SUMIF('Purchase List'!$C$5:$C$109,"Garnish",'Purchase List'!$F$5:$F$109)</f>
        <v/>
      </c>
      <c r="E30" s="205">
        <f>D30/$B$12</f>
        <v/>
      </c>
      <c r="F30" s="243" t="inlineStr">
        <is>
          <t>Shared</t>
        </is>
      </c>
      <c r="G30" s="201" t="n"/>
    </row>
    <row r="31" ht="15" customHeight="1" s="171">
      <c r="A31" s="201" t="inlineStr">
        <is>
          <t>Misc — catch-all (nothing tagged Misc right now)</t>
        </is>
      </c>
      <c r="B31" s="204" t="inlineStr">
        <is>
          <t>Misc</t>
        </is>
      </c>
      <c r="C31" s="236">
        <f>D31/$D$34</f>
        <v/>
      </c>
      <c r="D31" s="205">
        <f>SUMIF('Purchase List'!$C$5:$C$109,"Misc",'Purchase List'!$F$5:$F$109)</f>
        <v/>
      </c>
      <c r="E31" s="205">
        <f>D31/$B$12</f>
        <v/>
      </c>
      <c r="F31" s="243" t="inlineStr">
        <is>
          <t>Shared</t>
        </is>
      </c>
      <c r="G31" s="201" t="n"/>
    </row>
    <row r="32" ht="25.5" customHeight="1" s="171">
      <c r="A32" s="201" t="inlineStr">
        <is>
          <t>Camp bulk (cold brew, creamer, electrolytes, suan mei tang, mugicha, green tea, Celsius, seltzer, Spindrift, ginger beer)</t>
        </is>
      </c>
      <c r="B32" s="204" t="inlineStr">
        <is>
          <t>Camp bulk</t>
        </is>
      </c>
      <c r="C32" s="236">
        <f>D32/$D$34</f>
        <v/>
      </c>
      <c r="D32" s="205">
        <f>SUMIF('Purchase List'!$C$5:$C$109,"Camp bulk",'Purchase List'!$F$5:$F$109)</f>
        <v/>
      </c>
      <c r="E32" s="205">
        <f>D32/$B$12</f>
        <v/>
      </c>
      <c r="F32" s="243" t="inlineStr">
        <is>
          <t>Shared — see Camp Drinks tab</t>
        </is>
      </c>
      <c r="G32" s="201" t="n"/>
    </row>
    <row r="33" ht="25.5" customHeight="1" s="171">
      <c r="A33" s="201" t="inlineStr">
        <is>
          <t>Bar add-ons (tonic, soda water, Red Bull, bitters)</t>
        </is>
      </c>
      <c r="B33" s="204" t="inlineStr">
        <is>
          <t>Add-on</t>
        </is>
      </c>
      <c r="C33" s="236">
        <f>D33/$D$34</f>
        <v/>
      </c>
      <c r="D33" s="205">
        <f>SUMIF('Purchase List'!$C$5:$C$109,"Add-on",'Purchase List'!$F$5:$F$109)</f>
        <v/>
      </c>
      <c r="E33" s="205">
        <f>D33/$B$12</f>
        <v/>
      </c>
      <c r="F33" s="243" t="inlineStr">
        <is>
          <t>Shared — see Bar Add-Ons tab</t>
        </is>
      </c>
      <c r="G33" s="201" t="n"/>
    </row>
    <row r="34" ht="15" customHeight="1" s="171">
      <c r="A34" s="208" t="inlineStr">
        <is>
          <t>PROGRAM TOTAL (excl. refundable deposits)</t>
        </is>
      </c>
      <c r="B34" s="208" t="n"/>
      <c r="C34" s="237">
        <f>SUM(C19:C33)</f>
        <v/>
      </c>
      <c r="D34" s="212">
        <f>SUM(D19:D33)</f>
        <v/>
      </c>
      <c r="E34" s="212">
        <f>D34/$B$12</f>
        <v/>
      </c>
      <c r="F34" s="208" t="n"/>
      <c r="G34" s="208" t="n"/>
    </row>
    <row r="36" ht="15" customHeight="1" s="171">
      <c r="A36" s="201" t="inlineStr">
        <is>
          <t>Memo — keg deposits (REFUNDABLE, cash up front)</t>
        </is>
      </c>
      <c r="B36" s="204" t="inlineStr">
        <is>
          <t>Deposit</t>
        </is>
      </c>
      <c r="C36" s="201" t="n"/>
      <c r="D36" s="205">
        <f>SUMIF('Purchase List'!$C$5:$C$109,"Deposit",'Purchase List'!$F$5:$F$109)</f>
        <v/>
      </c>
      <c r="E36" s="201" t="n"/>
      <c r="F36" s="201" t="n"/>
      <c r="G36" s="201" t="n"/>
    </row>
    <row r="37" ht="15" customHeight="1" s="171">
      <c r="A37" s="244" t="inlineStr">
        <is>
          <t>Check: sections + deposits vs Purchase List total (should be $0)</t>
        </is>
      </c>
      <c r="B37" s="201" t="n"/>
      <c r="C37" s="201" t="n"/>
      <c r="D37" s="245">
        <f>D34+D36-'Purchase List'!$F$110</f>
        <v/>
      </c>
      <c r="E37" s="201" t="n"/>
      <c r="F37" s="201" t="n"/>
      <c r="G37" s="201" t="n"/>
    </row>
    <row r="39" ht="15" customHeight="1" s="171">
      <c r="A39" s="192" t="inlineStr">
        <is>
          <t>C. SHARED-INPUT ALLOCATION — how each pool splits across the four types</t>
        </is>
      </c>
    </row>
    <row r="40" ht="31.5" customHeight="1" s="171">
      <c r="A40" s="200" t="inlineStr">
        <is>
          <t>Shared input pool</t>
        </is>
      </c>
      <c r="B40" s="200" t="inlineStr">
        <is>
          <t>Allocation basis</t>
        </is>
      </c>
      <c r="C40" s="200" t="inlineStr">
        <is>
          <t>Pool $</t>
        </is>
      </c>
      <c r="D40" s="200" t="inlineStr">
        <is>
          <t>→ Keg straight</t>
        </is>
      </c>
      <c r="E40" s="200" t="inlineStr">
        <is>
          <t>→ Jug</t>
        </is>
      </c>
      <c r="F40" s="200" t="inlineStr">
        <is>
          <t>→ Built drinks</t>
        </is>
      </c>
      <c r="G40" s="200" t="inlineStr">
        <is>
          <t>→ Canned dirty soda</t>
        </is>
      </c>
    </row>
    <row r="41" ht="15" customHeight="1" s="171">
      <c r="A41" s="201" t="inlineStr">
        <is>
          <t>Keg liquid + tap infrastructure</t>
        </is>
      </c>
      <c r="B41" s="243" t="inlineStr">
        <is>
          <t>servings drawn off the kegs</t>
        </is>
      </c>
      <c r="C41" s="205">
        <f>D24+D26+D27</f>
        <v/>
      </c>
      <c r="D41" s="205">
        <f>C41*$B$59/($B$59+$B$60)</f>
        <v/>
      </c>
      <c r="E41" s="205" t="n">
        <v>0</v>
      </c>
      <c r="F41" s="205">
        <f>C41*$B$60/($B$59+$B$60)</f>
        <v/>
      </c>
      <c r="G41" s="205">
        <f>C41-D41-E41-F41</f>
        <v/>
      </c>
    </row>
    <row r="42" ht="15" customHeight="1" s="171">
      <c r="A42" s="201" t="inlineStr">
        <is>
          <t>Keg add-ons (aloe, lychee)</t>
        </is>
      </c>
      <c r="B42" s="243" t="inlineStr">
        <is>
          <t>100% straight pours</t>
        </is>
      </c>
      <c r="C42" s="205">
        <f>D25</f>
        <v/>
      </c>
      <c r="D42" s="205">
        <f>C42</f>
        <v/>
      </c>
      <c r="E42" s="205" t="n">
        <v>0</v>
      </c>
      <c r="F42" s="205" t="n">
        <v>0</v>
      </c>
      <c r="G42" s="205" t="n">
        <v>0</v>
      </c>
    </row>
    <row r="43" ht="15" customHeight="1" s="171">
      <c r="A43" s="201" t="inlineStr">
        <is>
          <t>Base soda, lemonade, horchata &amp; soda water</t>
        </is>
      </c>
      <c r="B43" s="243" t="inlineStr">
        <is>
          <t>oz consumed</t>
        </is>
      </c>
      <c r="C43" s="205">
        <f>D19</f>
        <v/>
      </c>
      <c r="D43" s="205" t="n">
        <v>0</v>
      </c>
      <c r="E43" s="205">
        <f>C43*$B$53/$B$52</f>
        <v/>
      </c>
      <c r="F43" s="205" t="n">
        <v>0</v>
      </c>
      <c r="G43" s="205">
        <f>C43-D43-E43-F43</f>
        <v/>
      </c>
    </row>
    <row r="44" ht="15" customHeight="1" s="171">
      <c r="A44" s="201" t="inlineStr">
        <is>
          <t>Syrups &amp; fruit purees</t>
        </is>
      </c>
      <c r="B44" s="243" t="inlineStr">
        <is>
          <t>oz consumed</t>
        </is>
      </c>
      <c r="C44" s="205">
        <f>D20</f>
        <v/>
      </c>
      <c r="D44" s="205" t="n">
        <v>0</v>
      </c>
      <c r="E44" s="205">
        <f>C44*$B$55/$B$54</f>
        <v/>
      </c>
      <c r="F44" s="205">
        <f>C44*$B$56/$B$54</f>
        <v/>
      </c>
      <c r="G44" s="205">
        <f>C44-D44-E44-F44</f>
        <v/>
      </c>
    </row>
    <row r="45" ht="15" customHeight="1" s="171">
      <c r="A45" s="201" t="inlineStr">
        <is>
          <t>Cream of coconut</t>
        </is>
      </c>
      <c r="B45" s="243" t="inlineStr">
        <is>
          <t>oz consumed</t>
        </is>
      </c>
      <c r="C45" s="205">
        <f>D21</f>
        <v/>
      </c>
      <c r="D45" s="205" t="n">
        <v>0</v>
      </c>
      <c r="E45" s="205">
        <f>C45*$B$58/$B$57</f>
        <v/>
      </c>
      <c r="F45" s="205" t="n">
        <v>0</v>
      </c>
      <c r="G45" s="205">
        <f>C45-D45-E45-F45</f>
        <v/>
      </c>
    </row>
    <row r="46" ht="15" customHeight="1" s="171">
      <c r="A46" s="201" t="inlineStr">
        <is>
          <t>Built-drink extras + rim salt</t>
        </is>
      </c>
      <c r="B46" s="243" t="inlineStr">
        <is>
          <t>100% built drinks</t>
        </is>
      </c>
      <c r="C46" s="205">
        <f>D22</f>
        <v/>
      </c>
      <c r="D46" s="205" t="n">
        <v>0</v>
      </c>
      <c r="E46" s="205" t="n">
        <v>0</v>
      </c>
      <c r="F46" s="205">
        <f>C46</f>
        <v/>
      </c>
      <c r="G46" s="205" t="n">
        <v>0</v>
      </c>
    </row>
    <row r="47" ht="15" customHeight="1" s="171">
      <c r="A47" s="201" t="inlineStr">
        <is>
          <t>Fresh produce (limes and watermelon juice; cucumber only if cubes happen)</t>
        </is>
      </c>
      <c r="B47" s="243" t="inlineStr">
        <is>
          <t>100% canned dirty soda</t>
        </is>
      </c>
      <c r="C47" s="205">
        <f>D23</f>
        <v/>
      </c>
      <c r="D47" s="205" t="n">
        <v>0</v>
      </c>
      <c r="E47" s="205" t="n">
        <v>0</v>
      </c>
      <c r="F47" s="205" t="n">
        <v>0</v>
      </c>
      <c r="G47" s="205">
        <f>C47</f>
        <v/>
      </c>
    </row>
    <row r="48" ht="15" customHeight="1" s="171">
      <c r="A48" s="201" t="inlineStr">
        <is>
          <t>Daily special ingredients</t>
        </is>
      </c>
      <c r="B48" s="243" t="inlineStr">
        <is>
          <t>100% jug</t>
        </is>
      </c>
      <c r="C48" s="205">
        <f>D28</f>
        <v/>
      </c>
      <c r="D48" s="205" t="n">
        <v>0</v>
      </c>
      <c r="E48" s="205">
        <f>C48</f>
        <v/>
      </c>
      <c r="F48" s="205" t="n">
        <v>0</v>
      </c>
      <c r="G48" s="205" t="n">
        <v>0</v>
      </c>
    </row>
    <row r="49" ht="15" customHeight="1" s="171">
      <c r="A49" s="208" t="inlineStr">
        <is>
          <t>TOTAL ALLOCATED</t>
        </is>
      </c>
      <c r="B49" s="208" t="n"/>
      <c r="C49" s="212">
        <f>SUM(C41:C48)</f>
        <v/>
      </c>
      <c r="D49" s="212">
        <f>SUM(D41:D48)</f>
        <v/>
      </c>
      <c r="E49" s="212">
        <f>SUM(E41:E48)</f>
        <v/>
      </c>
      <c r="F49" s="212">
        <f>SUM(F41:F48)</f>
        <v/>
      </c>
      <c r="G49" s="212">
        <f>SUM(G41:G48)</f>
        <v/>
      </c>
    </row>
    <row r="51" ht="15" customHeight="1" s="171">
      <c r="A51" s="192" t="inlineStr">
        <is>
          <t>Supporting figures — the quantities that drive the splits above</t>
        </is>
      </c>
    </row>
    <row r="52" ht="15" customHeight="1" s="171">
      <c r="A52" s="201" t="inlineStr">
        <is>
          <t>Base soda pool — total oz</t>
        </is>
      </c>
      <c r="B52" s="246">
        <f>'Base Soda — Cans'!$B$14+'Other Consumables'!$B$20</f>
        <v/>
      </c>
    </row>
    <row r="53" ht="15" customHeight="1" s="171">
      <c r="A53" s="201" t="inlineStr">
        <is>
          <t>Base soda pool — jug oz</t>
        </is>
      </c>
      <c r="B53" s="246">
        <f>SUMPRODUCT(('Jug Recipes'!$F$4:$F$15="Sprite")*'Jug Recipes'!$G$4:$G$15)+SUMPRODUCT(('Jug Recipes'!$H$4:$H$15="Sprite")*'Jug Recipes'!$I$4:$I$15)+SUMPRODUCT(('Jug Recipes'!$J$4:$J$15="Sprite")*'Jug Recipes'!$K$4:$K$15)+SUMPRODUCT(('Jug Recipes'!$L$4:$L$15="Sprite")*'Jug Recipes'!$M$4:$M$15)+SUMPRODUCT(('Jug Recipes'!$N$4:$N$15="Sprite")*'Jug Recipes'!$O$4:$O$15)+SUMPRODUCT(('Jug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Recipes'!$O$4:$O$15)+SUMPRODUCT(('Jug Recipes'!$F$4:$F$15="Lemonade")*'Jug Recipes'!$G$4:$G$15)+SUMPRODUCT(('Jug Recipes'!$H$4:$H$15="Lemonade")*'Jug Recipes'!$I$4:$I$15)+SUMPRODUCT(('Jug Recipes'!$J$4:$J$15="Lemonade")*'Jug Recipes'!$K$4:$K$15)+SUMPRODUCT(('Jug Recipes'!$L$4:$L$15="Lemonade")*'Jug Recipes'!$M$4:$M$15)+SUMPRODUCT(('Jug Recipes'!$N$4:$N$15="Lemonade")*'Jug Recipes'!$O$4:$O$15)+SUMPRODUCT(('Jug Recipes'!$F$4:$F$15="Horchata mix")*'Jug Recipes'!$G$4:$G$15)+SUMPRODUCT(('Jug Recipes'!$H$4:$H$15="Horchata mix")*'Jug Recipes'!$I$4:$I$15)+SUMPRODUCT(('Jug Recipes'!$J$4:$J$15="Horchata mix")*'Jug Recipes'!$K$4:$K$15)+SUMPRODUCT(('Jug Recipes'!$L$4:$L$15="Horchata mix")*'Jug Recipes'!$M$4:$M$15)+SUMPRODUCT(('Jug Recipes'!$N$4:$N$15="Horchata mix")*'Jug Recipes'!$O$4:$O$15)</f>
        <v/>
      </c>
    </row>
    <row r="54" ht="15" customHeight="1" s="171">
      <c r="A54" s="201" t="inlineStr">
        <is>
          <t>Syrups &amp; purees — total oz</t>
        </is>
      </c>
      <c r="B54" s="246">
        <f>'Other Consumables'!$B$12+'Other Consumables'!$B$17+'Other Consumables'!$B$18</f>
        <v/>
      </c>
    </row>
    <row r="55" ht="15" customHeight="1" s="171">
      <c r="A55" s="201" t="inlineStr">
        <is>
          <t>Syrups &amp; purees — jug oz</t>
        </is>
      </c>
      <c r="B55" s="246">
        <f>SUMPRODUCT(('Jug Recipes'!$F$4:$F$15="Peach syrup")*'Jug Recipes'!$G$4:$G$15)+SUMPRODUCT(('Jug Recipes'!$H$4:$H$15="Peach syrup")*'Jug Recipes'!$I$4:$I$15)+SUMPRODUCT(('Jug Recipes'!$J$4:$J$15="Peach syrup")*'Jug Recipes'!$K$4:$K$15)+SUMPRODUCT(('Jug Recipes'!$L$4:$L$15="Peach syrup")*'Jug Recipes'!$M$4:$M$15)+SUMPRODUCT(('Jug Recipes'!$N$4:$N$15="Peach syrup")*'Jug Recipes'!$O$4:$O$15)+SUMPRODUCT(('Jug Recipes'!$F$4:$F$15="Cherry syrup")*'Jug Recipes'!$G$4:$G$15)+SUMPRODUCT(('Jug Recipes'!$H$4:$H$15="Cherry syrup")*'Jug Recipes'!$I$4:$I$15)+SUMPRODUCT(('Jug Recipes'!$J$4:$J$15="Cherry syrup")*'Jug Recipes'!$K$4:$K$15)+SUMPRODUCT(('Jug Recipes'!$L$4:$L$15="Cherry syrup")*'Jug Recipes'!$M$4:$M$15)+SUMPRODUCT(('Jug Recipes'!$N$4:$N$15="Cherry syrup")*'Jug Recipes'!$O$4:$O$15)+SUMPRODUCT(('Jug Recipes'!$F$4:$F$15="Vanilla syrup")*'Jug Recipes'!$G$4:$G$15)+SUMPRODUCT(('Jug Recipes'!$H$4:$H$15="Vanilla syrup")*'Jug Recipes'!$I$4:$I$15)+SUMPRODUCT(('Jug Recipes'!$J$4:$J$15="Vanilla syrup")*'Jug Recipes'!$K$4:$K$15)+SUMPRODUCT(('Jug Recipes'!$L$4:$L$15="Vanilla syrup")*'Jug Recipes'!$M$4:$M$15)+SUMPRODUCT(('Jug Recipes'!$N$4:$N$15="Vanilla syrup")*'Jug Recipes'!$O$4:$O$15)+SUMPRODUCT(('Jug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f>
        <v/>
      </c>
    </row>
    <row r="56" ht="15" customHeight="1" s="171">
      <c r="A56" s="201" t="inlineStr">
        <is>
          <t>Syrups &amp; purees — built-drink oz (Tang + Sakura passion fruit, Clear Cache peach)</t>
        </is>
      </c>
      <c r="B56" s="246">
        <f>'Dirty Soda - Built Drinks'!$B$3*'Dirty Soda - Built Drinks'!$I$3+'Dirty Soda - Built Drinks'!$B$13*Assumptions!$B$118+'Dirty Soda - Built Drinks'!$B$14*'Dirty Soda - Built Drinks'!$G$14</f>
        <v/>
      </c>
    </row>
    <row r="57" ht="15" customHeight="1" s="171">
      <c r="A57" s="201" t="inlineStr">
        <is>
          <t>Cream of coconut — total oz</t>
        </is>
      </c>
      <c r="B57" s="246">
        <f>'Other Consumables'!$B$16</f>
        <v/>
      </c>
    </row>
    <row r="58" ht="15" customHeight="1" s="171">
      <c r="A58" s="201" t="inlineStr">
        <is>
          <t>Cream of coconut — jug oz</t>
        </is>
      </c>
      <c r="B58" s="246">
        <f>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row>
    <row r="59" ht="15" customHeight="1" s="171">
      <c r="A59" s="201" t="inlineStr">
        <is>
          <t>Keg servings — poured straight</t>
        </is>
      </c>
      <c r="B59" s="203">
        <f>'Beverage Lines'!$C$13</f>
        <v/>
      </c>
    </row>
    <row r="60" ht="15" customHeight="1" s="171">
      <c r="A60" s="201" t="inlineStr">
        <is>
          <t>Keg servings — leaving as built drinks</t>
        </is>
      </c>
      <c r="B60" s="203">
        <f>('Dirty Soda - Built Drinks'!$B$3+'Dirty Soda - Built Drinks'!$B$4+'Dirty Soda - Built Drinks'!$B$11+'Dirty Soda - Built Drinks'!$B$13+'Dirty Soda - Built Drinks'!$B$14+'Dirty Soda - Built Drinks'!$B$20)</f>
        <v/>
      </c>
    </row>
    <row r="61" ht="15" customHeight="1" s="171">
      <c r="A61" s="201" t="inlineStr">
        <is>
          <t>Keg cost per serving (liquid + tap infrastructure)</t>
        </is>
      </c>
      <c r="B61" s="205">
        <f>C41/($B$59+$B$60)</f>
        <v/>
      </c>
    </row>
    <row r="64" ht="31.5" customHeight="1" s="171">
      <c r="A64" s="199" t="inlineStr">
        <is>
          <t>Why a straight keg pour and a built drink cost about the same: both draw one serving off a keg, so both carry the same per-serving keg cost (last row above). Liquor, garnish and camp bulk stay unallocated on row 12.</t>
        </is>
      </c>
    </row>
  </sheetData>
  <mergeCells count="4">
    <mergeCell ref="A1:G1"/>
    <mergeCell ref="A3:G3"/>
    <mergeCell ref="A15:G15"/>
    <mergeCell ref="A64:G64"/>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3" colorId="64" zoomScale="100" zoomScaleNormal="100" zoomScalePageLayoutView="100" workbookViewId="0">
      <selection pane="topLeft" activeCell="F2" activeCellId="0" sqref="F2"/>
    </sheetView>
  </sheetViews>
  <sheetFormatPr baseColWidth="8" defaultColWidth="14.4296875" defaultRowHeight="15" zeroHeight="0" outlineLevelRow="0"/>
  <cols>
    <col width="12" customWidth="1" style="170" min="1" max="1"/>
    <col width="8" customWidth="1" style="170" min="2" max="2"/>
    <col width="10" customWidth="1" style="170" min="3" max="3"/>
    <col width="11" customWidth="1" style="170" min="4" max="4"/>
    <col width="52" customWidth="1" style="170" min="5" max="5"/>
    <col width="11" customWidth="1" style="170" min="6" max="6"/>
    <col width="8.710000000000001" customWidth="1" style="170" min="7" max="26"/>
  </cols>
  <sheetData>
    <row r="1" ht="24" customHeight="1" s="171">
      <c r="A1" s="177" t="inlineStr">
        <is>
          <t>Beverage Lines — packaged drinks poured straight or used as a build base</t>
        </is>
      </c>
    </row>
    <row r="2" ht="458.25" customHeight="1" s="171">
      <c r="A2" s="174" t="inlineStr">
        <is>
          <t>POST-KEG. Nothing here is a keg any more. This tab sizes how many servings each beverage has to cover; the actual buy is on 'Packaged Sizing'. A 'unit' is the legacy 5-gallon sizing block = 75 servings at 8 oz. The 'Old keg $' columns are kept ONLY as the baseline the packaged swap is measured against — you are not buying them.</t>
        </is>
      </c>
    </row>
    <row r="3" ht="15" customHeight="1" s="171">
      <c r="A3" s="247" t="inlineStr">
        <is>
          <t>POST-KEG. Each line is a finished drink handed over or poured straight (plus optional add-ons). Servings per unit and the baseline price come from Assumptions. Some lines also feed built drinks — the two kombuchas feed Tang Dynasty, the SCOBY Mule and Clear Cache; Mexican Lager feeds the built Michelada; green tea feeds Sakura Kisses — and those servings are subtracted here so nothing is double-counted. THERE ARE NO TAP LINES AND NO ROTATION. Every line is available all week; the day-by-day keg lineup is gone and so is the tab that held it. The "Old keg $" columns are a costing baseline only — you are not buying them.</t>
        </is>
      </c>
    </row>
    <row r="4" ht="15" customHeight="1" s="171"/>
    <row r="5" ht="15" customHeight="1" s="171">
      <c r="A5" s="178" t="inlineStr">
        <is>
          <t>Beverage</t>
        </is>
      </c>
      <c r="B5" s="178" t="inlineStr">
        <is>
          <t># units (80 servings ea — Assumptions B12)</t>
        </is>
      </c>
      <c r="C5" s="178" t="inlineStr">
        <is>
          <t>Servings</t>
        </is>
      </c>
      <c r="D5" s="178" t="inlineStr">
        <is>
          <t>Old keg $/ea (baseline only)</t>
        </is>
      </c>
      <c r="E5" s="178" t="inlineStr">
        <is>
          <t>Add-ons / garnish ideas</t>
        </is>
      </c>
      <c r="F5" s="178" t="inlineStr">
        <is>
          <t>Old keg subtotal (baseline only)</t>
        </is>
      </c>
    </row>
    <row r="6" ht="23.25" customHeight="1" s="171">
      <c r="A6" s="248" t="inlineStr">
        <is>
          <t>Cider</t>
        </is>
      </c>
      <c r="B6" s="180" t="n">
        <v>1</v>
      </c>
      <c r="C6" s="249">
        <f>B6*Assumptions!$B$12</f>
        <v/>
      </c>
      <c r="D6" s="250">
        <f>Assumptions!$B$24</f>
        <v/>
      </c>
      <c r="E6" s="183" t="inlineStr">
        <is>
          <t>AVAILABLE ALL WEEK — the old Sun-Mon "other tap line" restriction is gone with the kegs. 80 straight pours, handed over as sealed cans. Cinnamon-sugar rim, apple/pear slice, orange squeeze, rosemary/thyme sprig, candied ginger, pomegranate float.</t>
        </is>
      </c>
      <c r="F6" s="251">
        <f>B6*(D6+Assumptions!$B$28)</f>
        <v/>
      </c>
    </row>
    <row r="7" ht="23.25" customHeight="1" s="171">
      <c r="A7" s="248" t="inlineStr">
        <is>
          <t>Kombucha — Island Mango</t>
        </is>
      </c>
      <c r="B7" s="180" t="n">
        <v>1</v>
      </c>
      <c r="C7" s="249" t="n">
        <v>0</v>
      </c>
      <c r="D7" s="250">
        <f>Assumptions!$B$25</f>
        <v/>
      </c>
      <c r="E7" s="187" t="inlineStr">
        <is>
          <t>STRAIGHT POURS ARE BACK ON as of 14 Aug 2026 (see Service Availability row 41) — but they are NOT SIZED HERE. This cell stays 0 so the variety-pack count matches the 5 packs ordered; straight pours come out of the spare, which is mostly Superberry. See Packaged Sizing section 7. This line feeds Tang Dynasty (recipe row 3) only — the SCOBY Mule moved to Superberry the same day. Flavour is ISLAND MANGO, not passionfruit: the Brew Dr. variety pack has no passionfruit and Clear Mind has no 48 oz bottle, which is what forced the format change.</t>
        </is>
      </c>
      <c r="F7" s="251">
        <f>B7*(D7+Assumptions!$B$28)</f>
        <v/>
      </c>
    </row>
    <row r="8" ht="23.25" customHeight="1" s="171">
      <c r="A8" s="248" t="inlineStr">
        <is>
          <t>Sour Ale</t>
        </is>
      </c>
      <c r="B8" s="180" t="n">
        <v>1</v>
      </c>
      <c r="C8" s="249">
        <f>B8*Assumptions!$B$12</f>
        <v/>
      </c>
      <c r="D8" s="250">
        <f>Assumptions!$B$58</f>
        <v/>
      </c>
      <c r="E8" s="187" t="inlineStr">
        <is>
          <t>100% straight pours. SPECIFIC BEER TBD — Ancho Paloma was the placeholder; serve style and garnish to be revisited once the beer is chosen. NOT used as a shandy base: a sour is already light and acidic, so lemonade puts acid on acid. The shandy slot is filled by pre-made Stiegl Radler on the Bar Add-Ons tab.</t>
        </is>
      </c>
      <c r="F8" s="251">
        <f>B8*(D8+Assumptions!$B$28)</f>
        <v/>
      </c>
    </row>
    <row r="9" ht="34.5" customHeight="1" s="171">
      <c r="A9" s="248" t="inlineStr">
        <is>
          <t>Green tea</t>
        </is>
      </c>
      <c r="B9" s="180" t="n">
        <v>1</v>
      </c>
      <c r="C9" s="249">
        <f>B9*Assumptions!$B$12-'Dirty Soda - Built Drinks'!$B$13</f>
        <v/>
      </c>
      <c r="D9" s="250">
        <f>Assumptions!$B$27</f>
        <v/>
      </c>
      <c r="E9" s="183" t="inlineStr">
        <is>
          <t>AVAILABLE ALL WEEK — the old "Saturday only, other tap line" restriction is gone (Service Availability row 70). 80 servings total: 33 go to the built SAKURA KISSES (Dirty Soda - Built Drinks ROW 13, which IS still Saturday-only), leaving 47 poured straight as the GREEN TEA REFRESHER: aloe vera drink + tea, optional lychee + syrup, mint, cucumber, yuzu, honey, agar boba. The built servings are netted out here so they are not double-counted. SOURCE SPLIT AS OF 14 Aug 2026: the bottled buy is 2 x 12-packs and covers 380 oz; the last 128 oz — about 16 Refreshers — is COLD-STEEPED from teabags (Assumptions B263). Availability is unchanged, only where the liquid comes from. NOTE: the 47 is derived (80 per unit minus 33 built), not a demand estimate — the old note here claimed "the keg’s 50 pours" and pointed at the wrong recipe row; both were wrong and are corrected.</t>
        </is>
      </c>
      <c r="F9" s="251">
        <f>B9*(D9+Assumptions!$B$28)+Assumptions!$B$63*Assumptions!$B$62</f>
        <v/>
      </c>
    </row>
    <row r="10" ht="15" customHeight="1" s="171">
      <c r="A10" s="248" t="inlineStr">
        <is>
          <t>Blonde Ale</t>
        </is>
      </c>
      <c r="B10" s="252" t="n">
        <v>1</v>
      </c>
      <c r="C10" s="253">
        <f>B10*Assumptions!$B$66</f>
        <v/>
      </c>
      <c r="D10" s="248">
        <f>Assumptions!$B$59*Assumptions!$B$65</f>
        <v/>
      </c>
      <c r="E10" s="248" t="inlineStr">
        <is>
          <t>AVAILABLE ALL WEEK — the old Fri-Sat slot is gone with the kegs. 40 straight pours (this line was sized as a half keg, which is why it is 40 and not 80); handed over as sealed cans.</t>
        </is>
      </c>
      <c r="F10" s="254">
        <f>B10*(D10+Assumptions!$B$28)</f>
        <v/>
      </c>
    </row>
    <row r="11" ht="15" customHeight="1" s="171">
      <c r="A11" s="170" t="inlineStr">
        <is>
          <t>Mexican Lager</t>
        </is>
      </c>
      <c r="B11" s="255" t="n">
        <v>1</v>
      </c>
      <c r="C11" s="170">
        <f>B11*Assumptions!$B$12-'Dirty Soda - Built Drinks'!$B$4</f>
        <v/>
      </c>
      <c r="D11" s="170">
        <f>Assumptions!$B$67</f>
        <v/>
      </c>
      <c r="E11" s="170" t="inlineStr">
        <is>
          <t>AVAILABLE ALL WEEK — the old Wed-Thu "beer line" slot is gone with the kegs. 80 servings total: 30 go to the built MICHELADA (chelada mix, Tajin rim, lime, Clamato) and 50 are straight pours handed over as sealed cans. The Michelada servings are netted out of this row so they are not double-counted against the built-drinks tab. (The old note said "30 built + 20 straight"; the straight figure was wrong.)</t>
        </is>
      </c>
      <c r="F11" s="170">
        <f>B11*(D11+Assumptions!$B$28)</f>
        <v/>
      </c>
    </row>
    <row r="12" ht="15" customHeight="1" s="171">
      <c r="A12" s="170" t="inlineStr">
        <is>
          <t>Kombucha — Clear Mind</t>
        </is>
      </c>
      <c r="B12" s="255" t="n">
        <v>1</v>
      </c>
      <c r="C12" s="170" t="n">
        <v>0</v>
      </c>
      <c r="D12" s="170">
        <f>Assumptions!$B$145</f>
        <v/>
      </c>
      <c r="E12" s="174" t="inlineStr">
        <is>
          <t>STRAIGHT POURS ARE BACK ON as of 14 Aug 2026, but not sized here — see row 7 and Packaged Sizing section 7. Clear Mind has only ~14 oz of slack, so steer plain-kombucha requests to Superberry. This line feeds the built Clear Cache (peach + yuzu + sage, Recipes B14). Herbaceous and savoury — it was never the crowd pour anyway.</t>
        </is>
      </c>
      <c r="F12" s="170">
        <f>B12*(D12+Assumptions!$B$28)</f>
        <v/>
      </c>
    </row>
    <row r="13" ht="15" customHeight="1" s="171">
      <c r="A13" s="256" t="inlineStr">
        <is>
          <t>TOTAL</t>
        </is>
      </c>
      <c r="B13" s="256">
        <f>SUM(B6:B12)</f>
        <v/>
      </c>
      <c r="C13" s="256">
        <f>SUM(C6:C12)</f>
        <v/>
      </c>
      <c r="D13" s="256" t="n"/>
      <c r="E13" s="256" t="n"/>
      <c r="F13" s="256">
        <f>SUM(F6:F12)</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3:F4"/>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FF3B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0" activeCellId="0" sqref="A10"/>
    </sheetView>
  </sheetViews>
  <sheetFormatPr baseColWidth="8" defaultColWidth="8.4296875" defaultRowHeight="15" zeroHeight="0" outlineLevelRow="0"/>
  <cols>
    <col width="40" customWidth="1" style="170" min="1" max="1"/>
    <col width="12" customWidth="1" style="170" min="2" max="3"/>
    <col width="10" customWidth="1" style="170" min="4" max="4"/>
    <col width="22" customWidth="1" style="170" min="5" max="5"/>
    <col width="62" customWidth="1" style="170" min="6" max="6"/>
  </cols>
  <sheetData>
    <row r="1" ht="17.25" customHeight="1" s="171">
      <c r="A1" s="172" t="inlineStr">
        <is>
          <t>Packaged Sizing — packaged unit prices (yellow cells editable)</t>
        </is>
      </c>
      <c r="B1" s="173" t="n"/>
      <c r="C1" s="173" t="n"/>
      <c r="D1" s="173" t="n"/>
      <c r="E1" s="173" t="n"/>
    </row>
    <row r="3" ht="75" customHeight="1" s="171">
      <c r="A3" s="174" t="inlineStr">
        <is>
          <t>Prices for buying every keg beverage in bottles/cans instead. Kombucha is the price you gave ($12 per 48 oz). Beer, cider and green tea are July 2026 retail sampled from Costco / grocery listings — treat them as ballpark and swap in real Reno quotes. Everything on the 'Packaged Sizing' tab recalculates from these six rows.</t>
        </is>
      </c>
    </row>
    <row r="5" ht="15" customHeight="1" s="171">
      <c r="A5" s="175" t="inlineStr">
        <is>
          <t>PACKAGED FORMATS</t>
        </is>
      </c>
    </row>
    <row r="6" ht="15" customHeight="1" s="171">
      <c r="A6" s="195" t="inlineStr">
        <is>
          <t>Beverage</t>
        </is>
      </c>
      <c r="B6" s="195" t="inlineStr">
        <is>
          <t>oz per unit</t>
        </is>
      </c>
      <c r="C6" s="195" t="inlineStr">
        <is>
          <t>$ per unit</t>
        </is>
      </c>
      <c r="D6" s="195" t="inlineStr">
        <is>
          <t>$ / oz</t>
        </is>
      </c>
      <c r="E6" s="195" t="inlineStr">
        <is>
          <t>Format</t>
        </is>
      </c>
      <c r="F6" s="195" t="inlineStr">
        <is>
          <t>Source / basis</t>
        </is>
      </c>
    </row>
    <row r="7" ht="25.5" customHeight="1" s="171">
      <c r="A7" s="192" t="inlineStr">
        <is>
          <t>Kombucha — Brew Dr. variety pack (2 Clear Mind / 2 Island Mango / 2 Superberry)</t>
        </is>
      </c>
      <c r="B7" s="193" t="n">
        <v>84</v>
      </c>
      <c r="C7" s="222" t="n">
        <v>11.99</v>
      </c>
      <c r="D7" s="257">
        <f>C7/B7</f>
        <v/>
      </c>
      <c r="E7" s="229" t="inlineStr">
        <is>
          <t>6 x 14 oz variety pack</t>
        </is>
      </c>
      <c r="F7" s="174" t="inlineStr">
        <is>
          <t>SWITCHED 14 Aug 2026 — resolves this row’s own flagged spec bug. Brew Dr. Clear Mind HAS NO 48 OZ BOTTLE; the old GT’s Synergy 48 oz @ $9.99 line was buying a product that does not exist. Now the Brew Dr. 6 x 14 oz variety pack, Costco Reno: $11.99 regular, $7.99 on instant savings. $0.143/oz against $0.208/oz before. ONE PACK YIELDS 28 OZ OF EACH OF THREE FLAVOURS (2 bottles each), which is why pack count is NOT derived by dividing total kombucha oz by 84 — see ‘Packaged Sizing’ SECTION 7, which sizes each flavour against its own 28 oz/pack and takes the MAX. B7 is kept at the true 84 oz so the $/oz in column D stays honest.</t>
        </is>
      </c>
    </row>
    <row r="8" ht="25.5" customHeight="1" s="171">
      <c r="A8" s="192" t="inlineStr">
        <is>
          <t>Hard cider</t>
        </is>
      </c>
      <c r="B8" s="193" t="n">
        <v>144</v>
      </c>
      <c r="C8" s="222" t="n">
        <v>20</v>
      </c>
      <c r="D8" s="257">
        <f>C8/B8</f>
        <v/>
      </c>
      <c r="E8" s="229" t="inlineStr">
        <is>
          <t>12-pack, 12 oz cans</t>
        </is>
      </c>
      <c r="F8" s="174" t="inlineStr">
        <is>
          <t>Angry Orchard Crisp Apple 12x12oz: $19.99 Jewel-Osco, $20.19 Walmart, $21.99 Acme, $22.99 Vons; Costco Fireside mix pack $17.99-$19.89. Using $20.</t>
        </is>
      </c>
    </row>
    <row r="9" ht="25.5" customHeight="1" s="171">
      <c r="A9" s="192" t="inlineStr">
        <is>
          <t>Sour ale / Shandy</t>
        </is>
      </c>
      <c r="B9" s="193" t="n">
        <v>72</v>
      </c>
      <c r="C9" s="222" t="n">
        <v>12.99</v>
      </c>
      <c r="D9" s="257">
        <f>C9/B9</f>
        <v/>
      </c>
      <c r="E9" s="229" t="inlineStr">
        <is>
          <t>6-pack, 12 oz cans</t>
        </is>
      </c>
      <c r="F9" s="174" t="inlineStr">
        <is>
          <t>RESOLVED 2 Aug 2026 — the placeholder price was accurate, only the "TBD" needed settling. Sierra Nevada Wild Little Thing, $12.99/6-pack, is the pick: Chico CA brewery with saturation distribution in northern Nevada, 5.5%, guava/hibiscus/strawberry. Second choice Dogfish Head SeaQuench (~$12-13), a 4.9% lime-and-sea-salt session sour that is functionally an electrolyte beer — arguably the better playa drink. Anderson Valley Gose is a fine third but showed OUT OF STOCK at Total Wine, so do not make it primary.</t>
        </is>
      </c>
    </row>
    <row r="10" ht="15" customHeight="1" s="171">
      <c r="A10" s="192" t="inlineStr">
        <is>
          <t>Blonde ale</t>
        </is>
      </c>
      <c r="B10" s="193" t="n">
        <v>72</v>
      </c>
      <c r="C10" s="222" t="n">
        <v>10.49</v>
      </c>
      <c r="D10" s="257">
        <f>C10/B10</f>
        <v/>
      </c>
      <c r="E10" s="229" t="inlineStr">
        <is>
          <t>6-pack, 12 oz cans</t>
        </is>
      </c>
      <c r="F10" s="174" t="inlineStr">
        <is>
          <t>REPRICED: Kona Big Wave 6-pack $10.49 at Total Wine. (Firestone 805 24-pack works out to ~$8/6-pack.)</t>
        </is>
      </c>
    </row>
    <row r="11" ht="25.5" customHeight="1" s="171">
      <c r="A11" s="192" t="inlineStr">
        <is>
          <t>Mexican lager</t>
        </is>
      </c>
      <c r="B11" s="193" t="n">
        <v>288</v>
      </c>
      <c r="C11" s="222" t="n">
        <v>26.5</v>
      </c>
      <c r="D11" s="257">
        <f>C11/B11</f>
        <v/>
      </c>
      <c r="E11" s="229" t="inlineStr">
        <is>
          <t>24-pack, 12 oz cans</t>
        </is>
      </c>
      <c r="F11" s="174" t="inlineStr">
        <is>
          <t>REPRICED 2 Aug 2026 — THE BIGGEST UNDERSTATEMENT FOUND. $20 was the promo floor, not the shelf price: Modelo Especial 24 x 12 oz at Costco ranges $19.76-34.69 with a $26.80 average (tracker, 3 Aug 2026). Budgeting $26.50.</t>
        </is>
      </c>
    </row>
    <row r="12" ht="25.5" customHeight="1" s="171">
      <c r="A12" s="192" t="inlineStr">
        <is>
          <t>Green tea, unsweetened</t>
        </is>
      </c>
      <c r="B12" s="193" t="n">
        <v>202.8</v>
      </c>
      <c r="C12" s="222" t="n">
        <v>18.59</v>
      </c>
      <c r="D12" s="257">
        <f>C12/B12</f>
        <v/>
      </c>
      <c r="E12" s="229" t="inlineStr">
        <is>
          <t>12 x 16.9 oz bottles</t>
        </is>
      </c>
      <c r="F12" s="174" t="inlineStr">
        <is>
          <t>REPRICED: Ito En Oi Ocha 12 x 16.9 oz, Costco $18.59 regular — currently $9.97 on instant savings, so it could land at half this. STOCK RISK: in stock at only ~36% of warehouses and the promo ends within days. Have a backup.</t>
        </is>
      </c>
    </row>
    <row r="14" ht="15" customHeight="1" s="171">
      <c r="A14" s="175" t="inlineStr">
        <is>
          <t>OPERATING INPUTS</t>
        </is>
      </c>
    </row>
    <row r="15" ht="37.5" customHeight="1" s="171">
      <c r="A15" s="192" t="inlineStr">
        <is>
          <t>Open-container waste buffer</t>
        </is>
      </c>
      <c r="B15" s="224" t="n">
        <v>0.05</v>
      </c>
      <c r="F15" s="174" t="inlineStr">
        <is>
          <t>Bottles/cans opened and not finished. Deliberately lower than the 15% keg buffer (Assumptions B5) because packaged drinks have no foam, no line loss and no 40 oz first-pull allowance.</t>
        </is>
      </c>
    </row>
    <row r="16" ht="37.5" customHeight="1" s="171">
      <c r="A16" s="192" t="inlineStr">
        <is>
          <t>Serve beer &amp; cider as WHOLE cans?</t>
        </is>
      </c>
      <c r="B16" s="225" t="n">
        <v>1</v>
      </c>
      <c r="F16" s="174" t="inlineStr">
        <is>
          <t>1 = Scenario B (recommended): a straight beer/cider/lager pour is one sealed 12 oz can handed over. 0 = Scenario A: crack cans and pour 8 oz measures like the keg model does. This cell picks which scenario feeds the Purchase List.</t>
        </is>
      </c>
    </row>
    <row r="17" ht="15" customHeight="1" s="171">
      <c r="A17" s="192" t="inlineStr">
        <is>
          <t>Can size served whole (oz)</t>
        </is>
      </c>
      <c r="B17" s="225" t="n">
        <v>12</v>
      </c>
      <c r="F17" s="174" t="inlineStr">
        <is>
          <t>Size of the can you actually hand someone. Change to 16 if you buy tallboys/4-packs.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81ACA6"/>
    <outlinePr summaryBelow="1" summaryRight="1"/>
    <pageSetUpPr fitToPage="0"/>
  </sheetPr>
  <dimension ref="A1:M84"/>
  <sheetViews>
    <sheetView showFormulas="0" showGridLines="1" showRowColHeaders="1" showZeros="1" rightToLeft="0" tabSelected="0" showOutlineSymbols="1" defaultGridColor="1" view="normal" topLeftCell="N46" colorId="64" zoomScale="100" zoomScaleNormal="100" zoomScalePageLayoutView="100" workbookViewId="0">
      <selection pane="topLeft" activeCell="A73" activeCellId="0" sqref="A73"/>
    </sheetView>
  </sheetViews>
  <sheetFormatPr baseColWidth="8" defaultColWidth="8.4296875" defaultRowHeight="15" zeroHeight="0" outlineLevelRow="0"/>
  <cols>
    <col width="34" customWidth="1" style="170" min="1" max="1"/>
    <col width="13" customWidth="1" style="170" min="2" max="2"/>
    <col width="15" customWidth="1" style="170" min="3" max="3"/>
    <col width="14" customWidth="1" style="170" min="4" max="5"/>
    <col width="12" customWidth="1" style="170" min="6" max="6"/>
    <col width="13" customWidth="1" style="170" min="7" max="7"/>
    <col width="11" customWidth="1" style="170" min="8" max="8"/>
    <col width="12" customWidth="1" style="170" min="9" max="9"/>
    <col width="13" customWidth="1" style="170" min="10" max="10"/>
    <col width="11" customWidth="1" style="170" min="11" max="11"/>
    <col width="13" customWidth="1" style="170" min="12" max="12"/>
    <col width="11" customWidth="1" style="170" min="13" max="13"/>
  </cols>
  <sheetData>
    <row r="1" ht="17.25" customHeight="1" s="171">
      <c r="A1" s="172" t="inlineStr">
        <is>
          <t>Packaged Sizing — bottles &amp; cans instead of 8 kegs, same servings</t>
        </is>
      </c>
      <c r="B1" s="173" t="n"/>
      <c r="C1" s="173" t="n"/>
      <c r="D1" s="173" t="n"/>
      <c r="E1" s="173" t="n"/>
      <c r="F1" s="173" t="n"/>
      <c r="G1" s="173" t="n"/>
      <c r="H1" s="173" t="n"/>
      <c r="I1" s="173" t="n"/>
      <c r="J1" s="173" t="n"/>
      <c r="K1" s="173" t="n"/>
      <c r="L1" s="173" t="n"/>
      <c r="M1" s="173" t="n"/>
    </row>
    <row r="3" ht="45.75" customHeight="1" s="171">
      <c r="A3" s="174" t="inlineStr">
        <is>
          <t>Every keg on the Beverage Lines tab is replaced by packaged product sized to fill the SAME number of servings. Servings pull live from the Beverage Lines tab (straight pours) and the Recipes tab (built drinks), so this stays correct if the menu changes. STRAIGHT KOMBUCHA IS CUT: the two kombucha lines are sized purely to feed Tang Dynasty, the SCOBY Mule and Clear Cache (SCOBY-Dew was retired 11 Aug 2026, which is why the passionfruit bottle count fell from 7 to 5). Total to replace: 427 servings — 274 straight pours plus 153 built.</t>
        </is>
      </c>
    </row>
    <row r="5" ht="15" customHeight="1" s="171">
      <c r="A5" s="175" t="inlineStr">
        <is>
          <t>1. SERVINGS TO REPLACE — live from the Beverage Lines tab</t>
        </is>
      </c>
    </row>
    <row r="6" ht="30" customHeight="1" s="171">
      <c r="A6" s="195" t="inlineStr">
        <is>
          <t>Was (keg)</t>
        </is>
      </c>
      <c r="B6" s="195" t="inlineStr">
        <is>
          <t>Servings — straight</t>
        </is>
      </c>
      <c r="C6" s="195" t="inlineStr">
        <is>
          <t>Servings — built</t>
        </is>
      </c>
      <c r="D6" s="195" t="inlineStr">
        <is>
          <t>Servings — TOTAL</t>
        </is>
      </c>
      <c r="E6" s="195" t="inlineStr">
        <is>
          <t>Pour size (oz)</t>
        </is>
      </c>
      <c r="F6" s="195" t="inlineStr">
        <is>
          <t>Liquid oz needed</t>
        </is>
      </c>
      <c r="G6" s="195" t="inlineStr">
        <is>
          <t>Built draw (oz ea)</t>
        </is>
      </c>
    </row>
    <row r="7" ht="15" customHeight="1" s="171">
      <c r="A7" s="192" t="inlineStr">
        <is>
          <t>Cider</t>
        </is>
      </c>
      <c r="B7" s="258">
        <f>'Beverage Lines'!C6</f>
        <v/>
      </c>
      <c r="C7" s="258" t="inlineStr">
        <is>
          <t>0</t>
        </is>
      </c>
      <c r="D7" s="258">
        <f>B7+C7</f>
        <v/>
      </c>
      <c r="E7" s="258">
        <f>Assumptions!$B$120</f>
        <v/>
      </c>
      <c r="F7" s="259">
        <f>B7*E7+C7*G7</f>
        <v/>
      </c>
      <c r="G7" s="197" t="inlineStr">
        <is>
          <t>0</t>
        </is>
      </c>
    </row>
    <row r="8" ht="15" customHeight="1" s="171">
      <c r="A8" s="192" t="inlineStr">
        <is>
          <t>Kombucha — Island Mango + Superberry (Tang Dynasty + SCOBY Mule)</t>
        </is>
      </c>
      <c r="B8" s="258">
        <f>'Beverage Lines'!C7</f>
        <v/>
      </c>
      <c r="C8" s="258">
        <f>'Dirty Soda - Built Drinks'!$B$3+'Dirty Soda - Built Drinks'!$B$11</f>
        <v/>
      </c>
      <c r="D8" s="258">
        <f>B8+C8</f>
        <v/>
      </c>
      <c r="E8" s="258">
        <f>Assumptions!$B$120</f>
        <v/>
      </c>
      <c r="F8" s="259">
        <f>B8*E8+C8*G8</f>
        <v/>
      </c>
      <c r="G8" s="197">
        <f>'Dirty Soda - Built Drinks'!$E$3</f>
        <v/>
      </c>
    </row>
    <row r="9" ht="15" customHeight="1" s="171">
      <c r="A9" s="192" t="inlineStr">
        <is>
          <t>Sour Ale</t>
        </is>
      </c>
      <c r="B9" s="258">
        <f>'Beverage Lines'!C8</f>
        <v/>
      </c>
      <c r="C9" s="258" t="inlineStr">
        <is>
          <t>0</t>
        </is>
      </c>
      <c r="D9" s="258">
        <f>B9+C9</f>
        <v/>
      </c>
      <c r="E9" s="258">
        <f>Assumptions!$B$120</f>
        <v/>
      </c>
      <c r="F9" s="259">
        <f>B9*E9+C9*G9</f>
        <v/>
      </c>
      <c r="G9" s="197" t="inlineStr">
        <is>
          <t>0</t>
        </is>
      </c>
    </row>
    <row r="10" ht="15" customHeight="1" s="171">
      <c r="A10" s="192" t="inlineStr">
        <is>
          <t>Green tea</t>
        </is>
      </c>
      <c r="B10" s="258">
        <f>'Beverage Lines'!C9</f>
        <v/>
      </c>
      <c r="C10" s="258">
        <f>'Dirty Soda - Built Drinks'!$B$13</f>
        <v/>
      </c>
      <c r="D10" s="258">
        <f>B10+C10</f>
        <v/>
      </c>
      <c r="E10" s="258">
        <f>Assumptions!$B$120</f>
        <v/>
      </c>
      <c r="F10" s="259">
        <f>B10*E10+C10*G10-Assumptions!$B$263</f>
        <v/>
      </c>
      <c r="G10" s="197">
        <f>'Dirty Soda - Built Drinks'!$E$13</f>
        <v/>
      </c>
    </row>
    <row r="11" ht="15" customHeight="1" s="171">
      <c r="A11" s="192" t="inlineStr">
        <is>
          <t>Blonde Ale</t>
        </is>
      </c>
      <c r="B11" s="258">
        <f>'Beverage Lines'!C10</f>
        <v/>
      </c>
      <c r="C11" s="258" t="inlineStr">
        <is>
          <t>0</t>
        </is>
      </c>
      <c r="D11" s="258">
        <f>B11+C11</f>
        <v/>
      </c>
      <c r="E11" s="258">
        <f>Assumptions!$B$120</f>
        <v/>
      </c>
      <c r="F11" s="259">
        <f>B11*E11+C11*G11</f>
        <v/>
      </c>
      <c r="G11" s="197" t="inlineStr">
        <is>
          <t>0</t>
        </is>
      </c>
    </row>
    <row r="12" ht="15" customHeight="1" s="171">
      <c r="A12" s="192" t="inlineStr">
        <is>
          <t>Mexican Lager</t>
        </is>
      </c>
      <c r="B12" s="258">
        <f>'Beverage Lines'!C11</f>
        <v/>
      </c>
      <c r="C12" s="258">
        <f>'Dirty Soda - Built Drinks'!$B$4</f>
        <v/>
      </c>
      <c r="D12" s="258">
        <f>B12+C12</f>
        <v/>
      </c>
      <c r="E12" s="258">
        <f>Assumptions!$B$120</f>
        <v/>
      </c>
      <c r="F12" s="259">
        <f>B12*E12+C12*G12</f>
        <v/>
      </c>
      <c r="G12" s="197">
        <f>'Dirty Soda - Built Drinks'!$E$4</f>
        <v/>
      </c>
    </row>
    <row r="13" ht="15" customHeight="1" s="171">
      <c r="A13" s="192" t="inlineStr">
        <is>
          <t>Kombucha — Clear Mind (Clear Cache)</t>
        </is>
      </c>
      <c r="B13" s="258">
        <f>'Beverage Lines'!C12</f>
        <v/>
      </c>
      <c r="C13" s="258">
        <f>'Dirty Soda - Built Drinks'!$B$14</f>
        <v/>
      </c>
      <c r="D13" s="258">
        <f>B13+C13</f>
        <v/>
      </c>
      <c r="E13" s="258">
        <f>Assumptions!$B$120</f>
        <v/>
      </c>
      <c r="F13" s="259">
        <f>B13*E13+C13*G13</f>
        <v/>
      </c>
      <c r="G13" s="197">
        <f>'Dirty Soda - Built Drinks'!$E$14</f>
        <v/>
      </c>
    </row>
    <row r="14" ht="62.25" customHeight="1" s="171">
      <c r="A14" s="260" t="inlineStr">
        <is>
          <t>TOTAL SERVINGS OFF KEGS</t>
        </is>
      </c>
      <c r="B14" s="261">
        <f>SUM(B7:B13)</f>
        <v/>
      </c>
      <c r="C14" s="261">
        <f>SUM(C7:C13)</f>
        <v/>
      </c>
      <c r="D14" s="261">
        <f>SUM(D7:D13)</f>
        <v/>
      </c>
      <c r="E14" s="256" t="n"/>
      <c r="F14" s="262">
        <f>SUM(F7:F13)</f>
        <v/>
      </c>
      <c r="G14" s="174" t="n"/>
    </row>
    <row r="15" ht="43.5" customHeight="1" s="171">
      <c r="A15" s="174" t="inlineStr">
        <is>
          <t>BUILT DRINKS DO NOT DRAW A FULL POUR. A Tang Dynasty is 4 oz of kombucha in a 10 oz cup, not 8; a Michelada is 6 oz of lager; a Shandy is 6 oz of beer. Column G reads the real draw straight off the Recipes tab, so 'liquid oz needed' is now servings x actual draw rather than servings x 8. Before this, every built drink was sized as if it emptied a full pour — which over-bought the kombucha, green tea and lager lines by roughly a third.</t>
        </is>
      </c>
    </row>
    <row r="16" ht="15" customHeight="1" s="171">
      <c r="A16" s="175" t="inlineStr">
        <is>
          <t>2. SCENARIO A — crack cans and pour 8 oz measures (cheapest liquid)</t>
        </is>
      </c>
    </row>
    <row r="17" ht="15" customHeight="1" s="171">
      <c r="A17" s="195" t="inlineStr">
        <is>
          <t>Buy instead</t>
        </is>
      </c>
      <c r="B17" s="195" t="inlineStr">
        <is>
          <t>oz needed</t>
        </is>
      </c>
      <c r="C17" s="195" t="inlineStr">
        <is>
          <t>+ waste buffer</t>
        </is>
      </c>
      <c r="D17" s="195" t="inlineStr">
        <is>
          <t>Format</t>
        </is>
      </c>
      <c r="E17" s="195" t="inlineStr">
        <is>
          <t>oz / unit</t>
        </is>
      </c>
      <c r="F17" s="195" t="inlineStr">
        <is>
          <t>$ / unit</t>
        </is>
      </c>
      <c r="G17" s="195" t="inlineStr">
        <is>
          <t>UNITS TO BUY</t>
        </is>
      </c>
      <c r="H17" s="195" t="inlineStr">
        <is>
          <t>Cost</t>
        </is>
      </c>
      <c r="I17" s="195" t="inlineStr">
        <is>
          <t>Keg baseline $</t>
        </is>
      </c>
      <c r="J17" s="195" t="inlineStr">
        <is>
          <t>Δ vs keg</t>
        </is>
      </c>
    </row>
    <row r="18" ht="15" customHeight="1" s="171">
      <c r="A18" s="192" t="inlineStr">
        <is>
          <t>Cider</t>
        </is>
      </c>
      <c r="B18" s="259">
        <f>F7</f>
        <v/>
      </c>
      <c r="C18" s="259">
        <f>B18*(1+'Packaged Prices'!$B$15)</f>
        <v/>
      </c>
      <c r="D18" s="229">
        <f>'Packaged Prices'!$E$8</f>
        <v/>
      </c>
      <c r="E18" s="263">
        <f>'Packaged Prices'!$B$8</f>
        <v/>
      </c>
      <c r="F18" s="230">
        <f>'Packaged Prices'!$C$8</f>
        <v/>
      </c>
      <c r="G18" s="264">
        <f>CEILING(C18/E18,1)</f>
        <v/>
      </c>
      <c r="H18" s="265">
        <f>G18*F18</f>
        <v/>
      </c>
      <c r="I18" s="265">
        <f>'Beverage Lines'!B6*'Beverage Lines'!D6</f>
        <v/>
      </c>
      <c r="J18" s="265">
        <f>H18-I18</f>
        <v/>
      </c>
    </row>
    <row r="19" ht="15" customHeight="1" s="171">
      <c r="A19" s="192" t="inlineStr">
        <is>
          <t>Kombucha — VARIETY PACKS, ALL THREE FLAVOURS (see section 7)</t>
        </is>
      </c>
      <c r="B19" s="259">
        <f>F8</f>
        <v/>
      </c>
      <c r="C19" s="259">
        <f>B19*(1+'Packaged Prices'!$B$15)</f>
        <v/>
      </c>
      <c r="D19" s="229">
        <f>'Packaged Prices'!$E$7</f>
        <v/>
      </c>
      <c r="E19" s="263">
        <f>'Packaged Prices'!$B$7</f>
        <v/>
      </c>
      <c r="F19" s="230">
        <f>'Packaged Prices'!$C$7</f>
        <v/>
      </c>
      <c r="G19" s="264">
        <f>$H$81</f>
        <v/>
      </c>
      <c r="H19" s="265">
        <f>G19*F19</f>
        <v/>
      </c>
      <c r="I19" s="265">
        <f>'Beverage Lines'!B7*'Beverage Lines'!D7</f>
        <v/>
      </c>
      <c r="J19" s="265">
        <f>H19-I19</f>
        <v/>
      </c>
    </row>
    <row r="20" ht="15" customHeight="1" s="171">
      <c r="A20" s="192" t="inlineStr">
        <is>
          <t>Sour Ale</t>
        </is>
      </c>
      <c r="B20" s="259">
        <f>F9</f>
        <v/>
      </c>
      <c r="C20" s="259">
        <f>B20*(1+'Packaged Prices'!$B$15)</f>
        <v/>
      </c>
      <c r="D20" s="229">
        <f>'Packaged Prices'!$E$9</f>
        <v/>
      </c>
      <c r="E20" s="263">
        <f>'Packaged Prices'!$B$9</f>
        <v/>
      </c>
      <c r="F20" s="230">
        <f>'Packaged Prices'!$C$9</f>
        <v/>
      </c>
      <c r="G20" s="264">
        <f>CEILING(C20/E20,1)</f>
        <v/>
      </c>
      <c r="H20" s="265">
        <f>G20*F20</f>
        <v/>
      </c>
      <c r="I20" s="265">
        <f>'Beverage Lines'!B8*'Beverage Lines'!D8</f>
        <v/>
      </c>
      <c r="J20" s="265">
        <f>H20-I20</f>
        <v/>
      </c>
    </row>
    <row r="21" ht="15" customHeight="1" s="171">
      <c r="A21" s="192" t="inlineStr">
        <is>
          <t>Green tea</t>
        </is>
      </c>
      <c r="B21" s="259">
        <f>F10</f>
        <v/>
      </c>
      <c r="C21" s="259">
        <f>B21*(1+'Packaged Prices'!$B$15)</f>
        <v/>
      </c>
      <c r="D21" s="229">
        <f>'Packaged Prices'!$E$12</f>
        <v/>
      </c>
      <c r="E21" s="263">
        <f>'Packaged Prices'!$B$12</f>
        <v/>
      </c>
      <c r="F21" s="230">
        <f>'Packaged Prices'!$C$12</f>
        <v/>
      </c>
      <c r="G21" s="264">
        <f>CEILING(C21/E21,1)</f>
        <v/>
      </c>
      <c r="H21" s="265">
        <f>G21*F21</f>
        <v/>
      </c>
      <c r="I21" s="265">
        <f>'Beverage Lines'!B9*'Beverage Lines'!D9</f>
        <v/>
      </c>
      <c r="J21" s="265">
        <f>H21-I21</f>
        <v/>
      </c>
    </row>
    <row r="22" ht="15" customHeight="1" s="171">
      <c r="A22" s="192" t="inlineStr">
        <is>
          <t>Blonde Ale</t>
        </is>
      </c>
      <c r="B22" s="259">
        <f>F11</f>
        <v/>
      </c>
      <c r="C22" s="259">
        <f>B22*(1+'Packaged Prices'!$B$15)</f>
        <v/>
      </c>
      <c r="D22" s="229">
        <f>'Packaged Prices'!$E$10</f>
        <v/>
      </c>
      <c r="E22" s="263">
        <f>'Packaged Prices'!$B$10</f>
        <v/>
      </c>
      <c r="F22" s="230">
        <f>'Packaged Prices'!$C$10</f>
        <v/>
      </c>
      <c r="G22" s="264">
        <f>CEILING(C22/E22,1)</f>
        <v/>
      </c>
      <c r="H22" s="265">
        <f>G22*F22</f>
        <v/>
      </c>
      <c r="I22" s="265">
        <f>'Beverage Lines'!B10*'Beverage Lines'!D10</f>
        <v/>
      </c>
      <c r="J22" s="265">
        <f>H22-I22</f>
        <v/>
      </c>
    </row>
    <row r="23" ht="15" customHeight="1" s="171">
      <c r="A23" s="192" t="inlineStr">
        <is>
          <t>Mexican Lager</t>
        </is>
      </c>
      <c r="B23" s="259">
        <f>F12</f>
        <v/>
      </c>
      <c r="C23" s="259">
        <f>B23*(1+'Packaged Prices'!$B$15)</f>
        <v/>
      </c>
      <c r="D23" s="229">
        <f>'Packaged Prices'!$E$11</f>
        <v/>
      </c>
      <c r="E23" s="263">
        <f>'Packaged Prices'!$B$11</f>
        <v/>
      </c>
      <c r="F23" s="230">
        <f>'Packaged Prices'!$C$11</f>
        <v/>
      </c>
      <c r="G23" s="264">
        <f>CEILING(C23/E23,1)</f>
        <v/>
      </c>
      <c r="H23" s="265">
        <f>G23*F23</f>
        <v/>
      </c>
      <c r="I23" s="265">
        <f>'Beverage Lines'!B11*'Beverage Lines'!D11</f>
        <v/>
      </c>
      <c r="J23" s="265">
        <f>H23-I23</f>
        <v/>
      </c>
    </row>
    <row r="24" ht="15" customHeight="1" s="171">
      <c r="A24" s="192" t="inlineStr">
        <is>
          <t>Kombucha (Clear Mind) — INCLUDED IN THE PACKS ON ROW 19, zeroed so it does not double-count</t>
        </is>
      </c>
      <c r="B24" s="259">
        <f>F13</f>
        <v/>
      </c>
      <c r="C24" s="259">
        <f>B24*(1+'Packaged Prices'!$B$15)</f>
        <v/>
      </c>
      <c r="D24" s="229">
        <f>'Packaged Prices'!$E$7</f>
        <v/>
      </c>
      <c r="E24" s="263">
        <f>'Packaged Prices'!$B$7</f>
        <v/>
      </c>
      <c r="F24" s="230">
        <f>'Packaged Prices'!$C$7</f>
        <v/>
      </c>
      <c r="G24" s="264" t="n">
        <v>0</v>
      </c>
      <c r="H24" s="265">
        <f>G24*F24</f>
        <v/>
      </c>
      <c r="I24" s="265">
        <f>'Beverage Lines'!B12*'Beverage Lines'!D12</f>
        <v/>
      </c>
      <c r="J24" s="265">
        <f>H24-I24</f>
        <v/>
      </c>
    </row>
    <row r="25" ht="62.25" customHeight="1" s="171">
      <c r="A25" s="260" t="inlineStr">
        <is>
          <t>SCENARIO A TOTAL</t>
        </is>
      </c>
      <c r="B25" s="256" t="n"/>
      <c r="C25" s="262">
        <f>SUM(C18:C24)</f>
        <v/>
      </c>
      <c r="D25" s="256" t="n"/>
      <c r="E25" s="256" t="n"/>
      <c r="F25" s="256" t="n"/>
      <c r="G25" s="256" t="n"/>
      <c r="H25" s="266">
        <f>SUM(H18:H24)</f>
        <v/>
      </c>
      <c r="I25" s="266">
        <f>SUM(I18:I24)</f>
        <v/>
      </c>
      <c r="J25" s="266">
        <f>SUM(J18:J24)</f>
        <v/>
      </c>
      <c r="K25" s="174" t="inlineStr">
        <is>
          <t>Liquid only — the jockey box, CO2 and deposits savings are in section 5.</t>
        </is>
      </c>
    </row>
    <row r="27" ht="15" customHeight="1" s="171">
      <c r="A27" s="175" t="inlineStr">
        <is>
          <t>3. SCENARIO B — beer, cider &amp; lager handed over as whole 12 oz cans (RECOMMENDED)</t>
        </is>
      </c>
    </row>
    <row r="28" ht="30" customHeight="1" s="171">
      <c r="A28" s="195" t="inlineStr">
        <is>
          <t>Buy instead</t>
        </is>
      </c>
      <c r="B28" s="195" t="inlineStr">
        <is>
          <t>Straight servings</t>
        </is>
      </c>
      <c r="C28" s="195" t="inlineStr">
        <is>
          <t>oz each (whole can)</t>
        </is>
      </c>
      <c r="D28" s="195" t="inlineStr">
        <is>
          <t>Built servings</t>
        </is>
      </c>
      <c r="E28" s="195" t="inlineStr">
        <is>
          <t>oz each (measured)</t>
        </is>
      </c>
      <c r="F28" s="195" t="inlineStr">
        <is>
          <t>oz needed</t>
        </is>
      </c>
      <c r="G28" s="195" t="inlineStr">
        <is>
          <t>+ waste buffer</t>
        </is>
      </c>
      <c r="H28" s="195" t="inlineStr">
        <is>
          <t>oz / unit</t>
        </is>
      </c>
      <c r="I28" s="195" t="inlineStr">
        <is>
          <t>$ / unit</t>
        </is>
      </c>
      <c r="J28" s="195" t="inlineStr">
        <is>
          <t>UNITS TO BUY</t>
        </is>
      </c>
      <c r="K28" s="195" t="inlineStr">
        <is>
          <t>Cost</t>
        </is>
      </c>
      <c r="L28" s="195" t="inlineStr">
        <is>
          <t>Keg baseline $</t>
        </is>
      </c>
      <c r="M28" s="195" t="inlineStr">
        <is>
          <t>Δ vs keg</t>
        </is>
      </c>
    </row>
    <row r="29" ht="15" customHeight="1" s="171">
      <c r="A29" s="192" t="inlineStr">
        <is>
          <t>Cider</t>
        </is>
      </c>
      <c r="B29" s="258">
        <f>B7</f>
        <v/>
      </c>
      <c r="C29" s="258">
        <f>'Packaged Prices'!$B$17</f>
        <v/>
      </c>
      <c r="D29" s="258">
        <f>C7</f>
        <v/>
      </c>
      <c r="E29" s="258">
        <f>G7</f>
        <v/>
      </c>
      <c r="F29" s="259">
        <f>B29*C29+D29*E29</f>
        <v/>
      </c>
      <c r="G29" s="259">
        <f>F29*(1+'Packaged Prices'!$B$15)</f>
        <v/>
      </c>
      <c r="H29" s="263">
        <f>'Packaged Prices'!$B$8</f>
        <v/>
      </c>
      <c r="I29" s="230">
        <f>'Packaged Prices'!$C$8</f>
        <v/>
      </c>
      <c r="J29" s="264">
        <f>CEILING(G29/H29,1)</f>
        <v/>
      </c>
      <c r="K29" s="265">
        <f>J29*I29</f>
        <v/>
      </c>
      <c r="L29" s="265">
        <f>'Beverage Lines'!B6*'Beverage Lines'!D6</f>
        <v/>
      </c>
      <c r="M29" s="265">
        <f>K29-L29</f>
        <v/>
      </c>
    </row>
    <row r="30" ht="15" customHeight="1" s="171">
      <c r="A30" s="192" t="inlineStr">
        <is>
          <t>Kombucha — VARIETY PACKS, ALL THREE FLAVOURS (see section 7)</t>
        </is>
      </c>
      <c r="B30" s="258">
        <f>B8</f>
        <v/>
      </c>
      <c r="C30" s="258">
        <f>Assumptions!$B$120</f>
        <v/>
      </c>
      <c r="D30" s="258">
        <f>C8</f>
        <v/>
      </c>
      <c r="E30" s="258">
        <f>G8</f>
        <v/>
      </c>
      <c r="F30" s="259">
        <f>B30*C30+D30*E30</f>
        <v/>
      </c>
      <c r="G30" s="259">
        <f>F30*(1+'Packaged Prices'!$B$15)</f>
        <v/>
      </c>
      <c r="H30" s="263">
        <f>'Packaged Prices'!$B$7</f>
        <v/>
      </c>
      <c r="I30" s="230">
        <f>'Packaged Prices'!$C$7</f>
        <v/>
      </c>
      <c r="J30" s="264">
        <f>$H$81</f>
        <v/>
      </c>
      <c r="K30" s="265">
        <f>J30*I30</f>
        <v/>
      </c>
      <c r="L30" s="265">
        <f>'Beverage Lines'!B7*'Beverage Lines'!D7</f>
        <v/>
      </c>
      <c r="M30" s="265">
        <f>K30-L30</f>
        <v/>
      </c>
    </row>
    <row r="31" ht="15" customHeight="1" s="171">
      <c r="A31" s="192" t="inlineStr">
        <is>
          <t>Sour Ale</t>
        </is>
      </c>
      <c r="B31" s="258">
        <f>B9</f>
        <v/>
      </c>
      <c r="C31" s="258">
        <f>'Packaged Prices'!$B$17</f>
        <v/>
      </c>
      <c r="D31" s="258">
        <f>C9</f>
        <v/>
      </c>
      <c r="E31" s="258">
        <f>G9</f>
        <v/>
      </c>
      <c r="F31" s="259">
        <f>B31*C31+D31*E31</f>
        <v/>
      </c>
      <c r="G31" s="259">
        <f>F31*(1+'Packaged Prices'!$B$15)</f>
        <v/>
      </c>
      <c r="H31" s="263">
        <f>'Packaged Prices'!$B$9</f>
        <v/>
      </c>
      <c r="I31" s="230">
        <f>'Packaged Prices'!$C$9</f>
        <v/>
      </c>
      <c r="J31" s="264">
        <f>CEILING(G31/H31,1)</f>
        <v/>
      </c>
      <c r="K31" s="265">
        <f>J31*I31</f>
        <v/>
      </c>
      <c r="L31" s="265">
        <f>'Beverage Lines'!B8*'Beverage Lines'!D8</f>
        <v/>
      </c>
      <c r="M31" s="265">
        <f>K31-L31</f>
        <v/>
      </c>
    </row>
    <row r="32" ht="15" customHeight="1" s="171">
      <c r="A32" s="192" t="inlineStr">
        <is>
          <t>Green tea</t>
        </is>
      </c>
      <c r="B32" s="258">
        <f>B10</f>
        <v/>
      </c>
      <c r="C32" s="258">
        <f>Assumptions!$B$120</f>
        <v/>
      </c>
      <c r="D32" s="258">
        <f>C10</f>
        <v/>
      </c>
      <c r="E32" s="258">
        <f>G10</f>
        <v/>
      </c>
      <c r="F32" s="259">
        <f>B32*C32+D32*E32-Assumptions!$B$263</f>
        <v/>
      </c>
      <c r="G32" s="259">
        <f>F32*(1+'Packaged Prices'!$B$15)</f>
        <v/>
      </c>
      <c r="H32" s="263">
        <f>'Packaged Prices'!$B$12</f>
        <v/>
      </c>
      <c r="I32" s="230">
        <f>'Packaged Prices'!$C$12</f>
        <v/>
      </c>
      <c r="J32" s="264">
        <f>CEILING(G32/H32,1)</f>
        <v/>
      </c>
      <c r="K32" s="265">
        <f>J32*I32</f>
        <v/>
      </c>
      <c r="L32" s="265">
        <f>'Beverage Lines'!B9*'Beverage Lines'!D9</f>
        <v/>
      </c>
      <c r="M32" s="265">
        <f>K32-L32</f>
        <v/>
      </c>
    </row>
    <row r="33" ht="15" customHeight="1" s="171">
      <c r="A33" s="192" t="inlineStr">
        <is>
          <t>Blonde Ale</t>
        </is>
      </c>
      <c r="B33" s="258">
        <f>B11</f>
        <v/>
      </c>
      <c r="C33" s="258">
        <f>'Packaged Prices'!$B$17</f>
        <v/>
      </c>
      <c r="D33" s="258">
        <f>C11</f>
        <v/>
      </c>
      <c r="E33" s="258">
        <f>G11</f>
        <v/>
      </c>
      <c r="F33" s="259">
        <f>B33*C33+D33*E33</f>
        <v/>
      </c>
      <c r="G33" s="259">
        <f>F33*(1+'Packaged Prices'!$B$15)</f>
        <v/>
      </c>
      <c r="H33" s="263">
        <f>'Packaged Prices'!$B$10</f>
        <v/>
      </c>
      <c r="I33" s="230">
        <f>'Packaged Prices'!$C$10</f>
        <v/>
      </c>
      <c r="J33" s="264">
        <f>CEILING(G33/H33,1)</f>
        <v/>
      </c>
      <c r="K33" s="265">
        <f>J33*I33</f>
        <v/>
      </c>
      <c r="L33" s="265">
        <f>'Beverage Lines'!B10*'Beverage Lines'!D10</f>
        <v/>
      </c>
      <c r="M33" s="265">
        <f>K33-L33</f>
        <v/>
      </c>
    </row>
    <row r="34" ht="15" customHeight="1" s="171">
      <c r="A34" s="192" t="inlineStr">
        <is>
          <t>Mexican Lager</t>
        </is>
      </c>
      <c r="B34" s="258">
        <f>B12</f>
        <v/>
      </c>
      <c r="C34" s="258">
        <f>'Packaged Prices'!$B$17</f>
        <v/>
      </c>
      <c r="D34" s="258">
        <f>C12</f>
        <v/>
      </c>
      <c r="E34" s="258">
        <f>G12</f>
        <v/>
      </c>
      <c r="F34" s="259">
        <f>B34*C34+D34*E34</f>
        <v/>
      </c>
      <c r="G34" s="259">
        <f>F34*(1+'Packaged Prices'!$B$15)</f>
        <v/>
      </c>
      <c r="H34" s="263">
        <f>'Packaged Prices'!$B$11</f>
        <v/>
      </c>
      <c r="I34" s="230">
        <f>'Packaged Prices'!$C$11</f>
        <v/>
      </c>
      <c r="J34" s="264">
        <f>CEILING(G34/H34,1)</f>
        <v/>
      </c>
      <c r="K34" s="265">
        <f>J34*I34</f>
        <v/>
      </c>
      <c r="L34" s="265">
        <f>'Beverage Lines'!B11*'Beverage Lines'!D11</f>
        <v/>
      </c>
      <c r="M34" s="265">
        <f>K34-L34</f>
        <v/>
      </c>
    </row>
    <row r="35" ht="15" customHeight="1" s="171">
      <c r="A35" s="192" t="inlineStr">
        <is>
          <t>Kombucha (Clear Mind) — INCLUDED IN THE PACKS ON ROW 30, zeroed so it does not double-count</t>
        </is>
      </c>
      <c r="B35" s="258">
        <f>B13</f>
        <v/>
      </c>
      <c r="C35" s="258">
        <f>Assumptions!$B$120</f>
        <v/>
      </c>
      <c r="D35" s="258">
        <f>C13</f>
        <v/>
      </c>
      <c r="E35" s="258">
        <f>G13</f>
        <v/>
      </c>
      <c r="F35" s="259">
        <f>B35*C35+D35*E35</f>
        <v/>
      </c>
      <c r="G35" s="259">
        <f>F35*(1+'Packaged Prices'!$B$15)</f>
        <v/>
      </c>
      <c r="H35" s="263">
        <f>'Packaged Prices'!$B$7</f>
        <v/>
      </c>
      <c r="I35" s="230">
        <f>'Packaged Prices'!$C$7</f>
        <v/>
      </c>
      <c r="J35" s="264" t="n">
        <v>0</v>
      </c>
      <c r="K35" s="265">
        <f>J35*I35</f>
        <v/>
      </c>
      <c r="L35" s="265">
        <f>'Beverage Lines'!B12*'Beverage Lines'!D12</f>
        <v/>
      </c>
      <c r="M35" s="265">
        <f>K35-L35</f>
        <v/>
      </c>
    </row>
    <row r="36" ht="15" customHeight="1" s="171">
      <c r="A36" s="260" t="inlineStr">
        <is>
          <t>SCENARIO B TOTAL</t>
        </is>
      </c>
      <c r="B36" s="256" t="n"/>
      <c r="C36" s="256" t="n"/>
      <c r="D36" s="256" t="n"/>
      <c r="E36" s="256" t="n"/>
      <c r="F36" s="256" t="n"/>
      <c r="G36" s="262">
        <f>SUM(G29:G35)</f>
        <v/>
      </c>
      <c r="H36" s="256" t="n"/>
      <c r="I36" s="256" t="n"/>
      <c r="J36" s="256" t="n"/>
      <c r="K36" s="266">
        <f>SUM(K29:K35)</f>
        <v/>
      </c>
      <c r="L36" s="266">
        <f>SUM(L29:L35)</f>
        <v/>
      </c>
      <c r="M36" s="266">
        <f>SUM(M29:M35)</f>
        <v/>
      </c>
    </row>
    <row r="37" ht="99.75" customHeight="1" s="171">
      <c r="A37" s="174" t="inlineStr">
        <is>
          <t>Kombucha and green tea are identical in both scenarios — they are mixers and built-drink bases, so they get poured either way. Only beer, cider and the lager change: their straight pours go from an 8 oz cup to a whole 12 oz can, which is 50% more liquid per serving. That is the real cost of losing pour control, and it is why Scenario B is the honest number to budget against.</t>
        </is>
      </c>
    </row>
    <row r="38" ht="15" customHeight="1" s="171">
      <c r="A38" s="175" t="inlineStr">
        <is>
          <t>4. SHOPPING LIST — whichever scenario is selected on 'Packaged Prices' B16</t>
        </is>
      </c>
    </row>
    <row r="39" ht="15" customHeight="1" s="171">
      <c r="A39" s="195" t="inlineStr">
        <is>
          <t>Buy</t>
        </is>
      </c>
      <c r="B39" s="195" t="inlineStr">
        <is>
          <t>UNITS TO BUY</t>
        </is>
      </c>
      <c r="C39" s="195" t="inlineStr">
        <is>
          <t>Unit</t>
        </is>
      </c>
      <c r="D39" s="195" t="inlineStr">
        <is>
          <t>Cost</t>
        </is>
      </c>
    </row>
    <row r="40" ht="15" customHeight="1" s="171">
      <c r="A40" s="192" t="inlineStr">
        <is>
          <t>Cider</t>
        </is>
      </c>
      <c r="B40" s="264">
        <f>IF('Packaged Prices'!$B$16=1,J29,G18)</f>
        <v/>
      </c>
      <c r="C40" s="229" t="inlineStr">
        <is>
          <t>12-packs (12 oz cans)</t>
        </is>
      </c>
      <c r="D40" s="265">
        <f>IF('Packaged Prices'!$B$16=1,K29,H18)</f>
        <v/>
      </c>
    </row>
    <row r="41" ht="15" customHeight="1" s="171">
      <c r="A41" s="192" t="inlineStr">
        <is>
          <t>Kombucha — Brew Dr. variety packs (ALL FLAVOURS)</t>
        </is>
      </c>
      <c r="B41" s="264">
        <f>IF('Packaged Prices'!$B$16=1,J30,G19)</f>
        <v/>
      </c>
      <c r="C41" s="229" t="inlineStr">
        <is>
          <t>6 x 14 oz variety packs</t>
        </is>
      </c>
      <c r="D41" s="265">
        <f>IF('Packaged Prices'!$B$16=1,K30,H19)</f>
        <v/>
      </c>
    </row>
    <row r="42" ht="15" customHeight="1" s="171">
      <c r="A42" s="192" t="inlineStr">
        <is>
          <t>Sour Ale</t>
        </is>
      </c>
      <c r="B42" s="264">
        <f>IF('Packaged Prices'!$B$16=1,J31,G20)</f>
        <v/>
      </c>
      <c r="C42" s="229" t="inlineStr">
        <is>
          <t>6-packs (12 oz cans)</t>
        </is>
      </c>
      <c r="D42" s="265">
        <f>IF('Packaged Prices'!$B$16=1,K31,H20)</f>
        <v/>
      </c>
    </row>
    <row r="43" ht="15" customHeight="1" s="171">
      <c r="A43" s="192" t="inlineStr">
        <is>
          <t>Green tea</t>
        </is>
      </c>
      <c r="B43" s="264">
        <f>IF('Packaged Prices'!$B$16=1,J32,G21)</f>
        <v/>
      </c>
      <c r="C43" s="229" t="inlineStr">
        <is>
          <t>12-packs (16.9 oz bottles)</t>
        </is>
      </c>
      <c r="D43" s="265">
        <f>IF('Packaged Prices'!$B$16=1,K32,H21)</f>
        <v/>
      </c>
    </row>
    <row r="44" ht="15" customHeight="1" s="171">
      <c r="A44" s="192" t="inlineStr">
        <is>
          <t>Blonde Ale</t>
        </is>
      </c>
      <c r="B44" s="264">
        <f>IF('Packaged Prices'!$B$16=1,J33,G22)</f>
        <v/>
      </c>
      <c r="C44" s="229" t="inlineStr">
        <is>
          <t>6-packs (12 oz cans)</t>
        </is>
      </c>
      <c r="D44" s="265">
        <f>IF('Packaged Prices'!$B$16=1,K33,H22)</f>
        <v/>
      </c>
    </row>
    <row r="45" ht="15" customHeight="1" s="171">
      <c r="A45" s="192" t="inlineStr">
        <is>
          <t>Mexican Lager</t>
        </is>
      </c>
      <c r="B45" s="264">
        <f>IF('Packaged Prices'!$B$16=1,J34,G23)</f>
        <v/>
      </c>
      <c r="C45" s="229" t="inlineStr">
        <is>
          <t>24-packs (12 oz cans)</t>
        </is>
      </c>
      <c r="D45" s="265">
        <f>IF('Packaged Prices'!$B$16=1,K34,H23)</f>
        <v/>
      </c>
    </row>
    <row r="46" ht="15" customHeight="1" s="171">
      <c r="A46" s="192" t="inlineStr">
        <is>
          <t>Kombucha (Clear Mind) — MERGED INTO ROW 41, reads 0 on purpose</t>
        </is>
      </c>
      <c r="B46" s="264">
        <f>IF('Packaged Prices'!$B$16=1,J35,G24)</f>
        <v/>
      </c>
      <c r="C46" s="229" t="inlineStr">
        <is>
          <t>— (included in row 41)</t>
        </is>
      </c>
      <c r="D46" s="265">
        <f>IF('Packaged Prices'!$B$16=1,K35,H24)</f>
        <v/>
      </c>
    </row>
    <row r="47" ht="87" customHeight="1" s="171">
      <c r="A47" s="260" t="inlineStr">
        <is>
          <t>TOTAL PACKAGED BEVERAGE</t>
        </is>
      </c>
      <c r="B47" s="256" t="n"/>
      <c r="C47" s="256" t="n"/>
      <c r="D47" s="266">
        <f>SUM(D40:D46)</f>
        <v/>
      </c>
      <c r="F47" s="174" t="inlineStr">
        <is>
          <t>Purchase List rows 19, 20, 21, 38, 39, 40 and 74 now read their Qty and $ straight off this block.</t>
        </is>
      </c>
    </row>
    <row r="50" ht="15" customHeight="1" s="171">
      <c r="A50" s="175" t="inlineStr">
        <is>
          <t>5. HEADLINE — cash out the door</t>
        </is>
      </c>
    </row>
    <row r="51" ht="30" customHeight="1" s="171">
      <c r="A51" s="195" t="inlineStr">
        <is>
          <t>Line</t>
        </is>
      </c>
      <c r="B51" s="195" t="inlineStr">
        <is>
          <t>Keg program</t>
        </is>
      </c>
      <c r="C51" s="195" t="inlineStr">
        <is>
          <t>No kegs — A (poured)</t>
        </is>
      </c>
      <c r="D51" s="195" t="inlineStr">
        <is>
          <t>No kegs — B (whole cans)</t>
        </is>
      </c>
      <c r="E51" s="195" t="n"/>
      <c r="F51" s="195" t="inlineStr">
        <is>
          <t>Note</t>
        </is>
      </c>
    </row>
    <row r="52" ht="50.25" customHeight="1" s="171">
      <c r="A52" s="192" t="inlineStr">
        <is>
          <t>Beverage liquid</t>
        </is>
      </c>
      <c r="B52" s="265">
        <f>I25</f>
        <v/>
      </c>
      <c r="C52" s="265">
        <f>H25</f>
        <v/>
      </c>
      <c r="D52" s="265">
        <f>K36</f>
        <v/>
      </c>
      <c r="F52" s="174" t="inlineStr">
        <is>
          <t>Keg column is 8 kegs of liquid; no-keg columns are sections 2 and 3.</t>
        </is>
      </c>
    </row>
    <row r="53" ht="62.25" customHeight="1" s="171">
      <c r="A53" s="192" t="inlineStr">
        <is>
          <t>Jockey box rental (3 x 4-day)</t>
        </is>
      </c>
      <c r="B53" s="265">
        <f>Assumptions!$B$34*Assumptions!$B$33</f>
        <v/>
      </c>
      <c r="C53" s="265" t="n">
        <v>0</v>
      </c>
      <c r="D53" s="265" t="n">
        <v>0</v>
      </c>
      <c r="F53" s="174" t="inlineStr">
        <is>
          <t>Purchase List row 27. Gone entirely — nothing to chill through a coil.</t>
        </is>
      </c>
    </row>
    <row r="54" ht="50.25" customHeight="1" s="171">
      <c r="A54" s="192" t="inlineStr">
        <is>
          <t>CO2 refills</t>
        </is>
      </c>
      <c r="B54" s="265">
        <f>Assumptions!$B$36*Assumptions!$B$35</f>
        <v/>
      </c>
      <c r="C54" s="265" t="n">
        <v>0</v>
      </c>
      <c r="D54" s="265" t="n">
        <v>0</v>
      </c>
      <c r="F54" s="174" t="inlineStr">
        <is>
          <t>Purchase List row 25. Gone — no gas to push anything.</t>
        </is>
      </c>
    </row>
    <row r="55" ht="25.5" customHeight="1" s="171">
      <c r="A55" s="192" t="inlineStr">
        <is>
          <t>Jumper lines, washers, faucet wrench</t>
        </is>
      </c>
      <c r="B55" s="265">
        <f>20</f>
        <v/>
      </c>
      <c r="C55" s="265" t="n">
        <v>0</v>
      </c>
      <c r="D55" s="265" t="n">
        <v>0</v>
      </c>
      <c r="F55" s="174" t="inlineStr">
        <is>
          <t>Purchase List row 30. Gone.</t>
        </is>
      </c>
    </row>
    <row r="56" ht="15" customHeight="1" s="171">
      <c r="A56" s="260" t="inlineStr">
        <is>
          <t>TOTAL</t>
        </is>
      </c>
      <c r="B56" s="266">
        <f>SUM(B52:B55)</f>
        <v/>
      </c>
      <c r="C56" s="266">
        <f>SUM(C52:C55)</f>
        <v/>
      </c>
      <c r="D56" s="266">
        <f>SUM(D52:D55)</f>
        <v/>
      </c>
      <c r="E56" s="256" t="n"/>
    </row>
    <row r="57" ht="15" customHeight="1" s="171">
      <c r="A57" s="192" t="inlineStr">
        <is>
          <t>SAVING vs the keg program</t>
        </is>
      </c>
      <c r="C57" s="234">
        <f>B56-C56</f>
        <v/>
      </c>
      <c r="D57" s="234">
        <f>B56-D56</f>
        <v/>
      </c>
    </row>
    <row r="58" ht="15" customHeight="1" s="171">
      <c r="A58" s="192" t="inlineStr">
        <is>
          <t>Saving as % of the keg program</t>
        </is>
      </c>
      <c r="C58" s="267">
        <f>C57/$B$56</f>
        <v/>
      </c>
      <c r="D58" s="267">
        <f>D57/$B$56</f>
        <v/>
      </c>
    </row>
    <row r="59" ht="15" customHeight="1" s="171">
      <c r="A59" s="192" t="inlineStr">
        <is>
          <t>Saving per serving replaced</t>
        </is>
      </c>
      <c r="C59" s="230">
        <f>C57/$D$14</f>
        <v/>
      </c>
      <c r="D59" s="230">
        <f>D57/$D$14</f>
        <v/>
      </c>
    </row>
    <row r="61" ht="149.25" customHeight="1" s="171">
      <c r="A61" s="192" t="inlineStr">
        <is>
          <t>Memo — refundable keg deposits no longer fronted</t>
        </is>
      </c>
      <c r="B61" s="265">
        <f>'Beverage Lines'!B13*Assumptions!$B$32</f>
        <v/>
      </c>
      <c r="F61" s="174" t="inlineStr">
        <is>
          <t>Not a saving — it always came back. But it is cash you no longer have to carry to Reno and no empties you have to haul back to Mike's before the deposit window closes.</t>
        </is>
      </c>
    </row>
    <row r="63" ht="136.5" customHeight="1" s="171">
      <c r="A63" s="192" t="inlineStr">
        <is>
          <t>New program total (Totals by Type D13, recalculated)</t>
        </is>
      </c>
      <c r="B63" s="234">
        <f>'Totals by Type'!$D$14</f>
        <v/>
      </c>
      <c r="F63" s="174" t="inlineStr">
        <is>
          <t>The Purchase List and Totals by Type tabs in THIS file have been rewired to the no-keg plan, so that figure is already the new bottom line. Keg program was $3,872.</t>
        </is>
      </c>
    </row>
    <row r="65" ht="15" customHeight="1" s="171">
      <c r="A65" s="175" t="inlineStr">
        <is>
          <t>6. WHAT THE MONEY DOESN'T SHOW</t>
        </is>
      </c>
    </row>
    <row r="66" ht="45.75" customHeight="1" s="171">
      <c r="A66" s="174" t="inlineStr">
        <is>
          <t>PORTION CONTROL IS THE REAL COST. The keg model pours 8 oz on purpose (Assumptions B120: 'less waste when someone wanders off'). A can is 12 oz and cannot be poured half. Scenario B budgets for that honestly; Scenario A pretends you will pour measured cups out of open cans, which on a dusty playa bar means flat, warm, half-finished cans everywhere.</t>
        </is>
      </c>
    </row>
    <row r="67" ht="45.75" customHeight="1" s="171">
      <c r="A67" s="174" t="inlineStr">
        <is>
          <t>KOMBUCHA WAS THE ONE PLACE KEGS WON — AND IT IS NOW THE SMALLEST LINE ON THE BOARD. At $12 / 48 oz you pay $0.250 per oz against $0.217 for keg liquid, so bottling it was the one swap that cost more. Cutting the straight pours settles it: kombucha demand drops from 225 servings to the 90 the built drinks actually need, and the spend goes from $492 to $204. Buying that in bottles is now unambiguously right — a keg would leave you with ~500 oz of flat kombucha nobody ordered.</t>
        </is>
      </c>
    </row>
    <row r="68" ht="45.75" customHeight="1" s="171">
      <c r="A68" s="174" t="inlineStr">
        <is>
          <t>MEXICAN LAGER IS THE BIGGEST WIN. $20 for a 24-pack is $0.069/oz against $150 for the keg ($0.250/oz usable). Same for the craft styles once you drop from keg pricing to retail 6-packs.</t>
        </is>
      </c>
    </row>
    <row r="69" ht="45.75" customHeight="1" s="171">
      <c r="A69" s="174" t="inlineStr">
        <is>
          <t>MOOP AND HAULING. 8 kegs is 8 objects in and 8 objects out. The no-keg plan is roughly 55-70 packages, and every can becomes MOOP you pack out. Budget bin space and a can crusher. Against that: no keg deposits, no 160 lb of full kegs, no coil box, no CO2 tank, no ice bath for kegs.</t>
        </is>
      </c>
    </row>
    <row r="70" ht="45.75" customHeight="1" s="171">
      <c r="A70" s="174" t="inlineStr">
        <is>
          <t>COLD CHAIN CHANGES SHAPE, NOT SIZE. You still need the two 19-gallon tubs (Purchase List row 90) — they now hold cans on ice instead of kegs. Cans chill far faster than a keg, so the jockey box's whole job disappears; ice demand goes down, not up. Ice is not costed anywhere in this workbook — camp lead covers it.</t>
        </is>
      </c>
    </row>
    <row r="71" ht="45.75" customHeight="1" s="171">
      <c r="A71" s="174" t="inlineStr">
        <is>
          <t>SERVICE SPEED. Handing someone a can is faster than pulling a pour, and there is no foaming when ambient is over 100F (the Jockey Box tab warns 50' coils foam badly in playa heat). But the built drinks — Michelada, Tang Dynasty, the SCOBY Mule, Clear Cache, Sakura Kisses — get slower, because every one of them now starts with opening a package instead of pulling a tap.</t>
        </is>
      </c>
    </row>
    <row r="72" ht="45.75" customHeight="1" s="171">
      <c r="A72" s="174" t="inlineStr">
        <is>
          <t>THE JOCKEY BOX TAB IS NOW MOOT. 'Jockey Box — Buy vs Rent' still sits in this file for reference, but with no kegs there is nothing to buy or rent. If the camp goes no-keg permanently, that buy-vs-rent decision goes away with it.</t>
        </is>
      </c>
    </row>
    <row r="73" ht="45.75" customHeight="1" s="171">
      <c r="A73" s="174" t="inlineStr">
        <is>
          <t>PRICES ARE ESTIMATES. Kombucha is your number. Beer, cider and green tea are July 2026 retail sampled from Costco / grocery listings, not Reno quotes. The sour ale is unpriced until the specific beer is chosen. Every one of these lives on 'Packaged Prices' and everything downstream recalculates when you swap in a real number.</t>
        </is>
      </c>
    </row>
    <row r="75" ht="15" customHeight="1" s="171">
      <c r="A75" s="170" t="inlineStr">
        <is>
          <t>7. KOMBUCHA — VARIETY-PACK FLAVOUR ALLOCATION (added 14 Aug 2026)</t>
        </is>
      </c>
    </row>
    <row r="76" ht="15" customHeight="1" s="171">
      <c r="A76" s="170" t="inlineStr">
        <is>
          <t>ONE SKU FEEDS THREE LINES, so packs cannot be summed across flavours. Each pack gives 28 oz (2 x 14 oz) of EACH flavour. Every flavour is sized against its own 28 oz/pack, and the number you actually buy is the MAX of the three — one pack serves all three at once. Sections 2, 3 and 4 above now read the MAX off H81, and the second kombucha line in each is forced to zero so nothing double-counts.</t>
        </is>
      </c>
    </row>
    <row r="77" ht="15" customHeight="1" s="171">
      <c r="A77" s="170" t="inlineStr">
        <is>
          <t>Flavour</t>
        </is>
      </c>
      <c r="B77" s="170" t="inlineStr">
        <is>
          <t>Drink it feeds</t>
        </is>
      </c>
      <c r="C77" s="170" t="inlineStr">
        <is>
          <t>Servings</t>
        </is>
      </c>
      <c r="D77" s="170" t="inlineStr">
        <is>
          <t>oz / serving</t>
        </is>
      </c>
      <c r="E77" s="170" t="inlineStr">
        <is>
          <t>oz needed</t>
        </is>
      </c>
      <c r="F77" s="170" t="inlineStr">
        <is>
          <t>+ waste buffer</t>
        </is>
      </c>
      <c r="G77" s="170" t="inlineStr">
        <is>
          <t>oz of this flavour per pack</t>
        </is>
      </c>
      <c r="H77" s="170" t="inlineStr">
        <is>
          <t>PACKS THIS FLAVOUR NEEDS</t>
        </is>
      </c>
    </row>
    <row r="78" ht="15" customHeight="1" s="171">
      <c r="A78" s="170" t="inlineStr">
        <is>
          <t>Island Mango</t>
        </is>
      </c>
      <c r="B78" s="170" t="inlineStr">
        <is>
          <t>Tang Dynasty</t>
        </is>
      </c>
      <c r="C78" s="197">
        <f>'Dirty Soda - Built Drinks'!$B$3</f>
        <v/>
      </c>
      <c r="D78" s="223">
        <f>'Dirty Soda - Built Drinks'!$E$3</f>
        <v/>
      </c>
      <c r="E78" s="170">
        <f>C78*D78</f>
        <v/>
      </c>
      <c r="F78" s="170">
        <f>E78*(1+'Packaged Prices'!$B$15)</f>
        <v/>
      </c>
      <c r="G78" s="170" t="n">
        <v>28</v>
      </c>
      <c r="H78" s="170">
        <f>CEILING(F78/G78,1)</f>
        <v/>
      </c>
    </row>
    <row r="79" ht="15" customHeight="1" s="171">
      <c r="A79" s="170" t="inlineStr">
        <is>
          <t>Clear Mind</t>
        </is>
      </c>
      <c r="B79" s="170" t="inlineStr">
        <is>
          <t>Clear Cache</t>
        </is>
      </c>
      <c r="C79" s="197">
        <f>'Dirty Soda - Built Drinks'!$B$14</f>
        <v/>
      </c>
      <c r="D79" s="223">
        <f>'Dirty Soda - Built Drinks'!$E$14</f>
        <v/>
      </c>
      <c r="E79" s="170">
        <f>C79*D79</f>
        <v/>
      </c>
      <c r="F79" s="170">
        <f>E79*(1+'Packaged Prices'!$B$15)</f>
        <v/>
      </c>
      <c r="G79" s="170" t="n">
        <v>28</v>
      </c>
      <c r="H79" s="170">
        <f>CEILING(F79/G79,1)</f>
        <v/>
      </c>
    </row>
    <row r="80" ht="15" customHeight="1" s="171">
      <c r="A80" s="170" t="inlineStr">
        <is>
          <t>Superberry</t>
        </is>
      </c>
      <c r="B80" s="170" t="inlineStr">
        <is>
          <t>SCOBY Mule</t>
        </is>
      </c>
      <c r="C80" s="197">
        <f>'Dirty Soda - Built Drinks'!$B$11</f>
        <v/>
      </c>
      <c r="D80" s="223">
        <f>'Dirty Soda - Built Drinks'!$E$11</f>
        <v/>
      </c>
      <c r="E80" s="170">
        <f>C80*D80</f>
        <v/>
      </c>
      <c r="F80" s="170">
        <f>E80*(1+'Packaged Prices'!$B$15)</f>
        <v/>
      </c>
      <c r="G80" s="170" t="n">
        <v>28</v>
      </c>
      <c r="H80" s="170">
        <f>CEILING(F80/G80,1)</f>
        <v/>
      </c>
    </row>
    <row r="81" ht="15" customHeight="1" s="171">
      <c r="A81" s="170" t="inlineStr">
        <is>
          <t>PACKS TO BUY — MAX, not sum (one pack serves all three)</t>
        </is>
      </c>
      <c r="H81" s="170">
        <f>MAX(H78:H80)</f>
        <v/>
      </c>
    </row>
    <row r="82" ht="15" customHeight="1" s="171">
      <c r="A82" s="170" t="inlineStr">
        <is>
          <t>Cost</t>
        </is>
      </c>
      <c r="H82" s="170">
        <f>H81*'Packaged Prices'!$C$7</f>
        <v/>
      </c>
    </row>
    <row r="83" ht="15" customHeight="1" s="171">
      <c r="A83" s="170" t="inlineStr">
        <is>
          <t>Spare, by flavour (oz)</t>
        </is>
      </c>
      <c r="C83" s="170">
        <f>$H$81*G78-F78</f>
        <v/>
      </c>
      <c r="D83" s="170">
        <f>$H$81*G79-F79</f>
        <v/>
      </c>
      <c r="E83" s="170">
        <f>$H$81*G80-F80</f>
        <v/>
      </c>
      <c r="G83" s="170" t="inlineStr">
        <is>
          <t>Island Mango / Clear Mind / Superberry — spare in C83, D83, E83</t>
        </is>
      </c>
    </row>
    <row r="84" ht="15" customHeight="1" s="171">
      <c r="A84" s="170" t="inlineStr">
        <is>
          <t>THE SPARE IS WHAT STRAIGHT KOMBUCHA POURS COME OUT OF. There is no separate straight-pour allowance in the buy: ‘Beverage Lines’ C7/C12 stay at 0 so the pack count matches what was actually ordered (5). At an 8 oz pour (Assumptions B120) the spare is roughly 10 straight servings across the whole week, and MOST OF IT IS SUPERBERRY. Steer anyone asking for a plain kombucha to Superberry; Clear Mind and Island Mango have ~14 oz of slack each and are needed for their builds.</t>
        </is>
      </c>
    </row>
  </sheetData>
  <mergeCells count="10">
    <mergeCell ref="A68:M68"/>
    <mergeCell ref="A66:M66"/>
    <mergeCell ref="A67:M67"/>
    <mergeCell ref="A70:M70"/>
    <mergeCell ref="A3:M3"/>
    <mergeCell ref="A69:M69"/>
    <mergeCell ref="A15:M15"/>
    <mergeCell ref="A72:M72"/>
    <mergeCell ref="A73:M73"/>
    <mergeCell ref="A71:M7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J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21" activeCellId="0" sqref="D21"/>
    </sheetView>
  </sheetViews>
  <sheetFormatPr baseColWidth="8" defaultColWidth="14.4296875" defaultRowHeight="15" zeroHeight="0" outlineLevelRow="0"/>
  <cols>
    <col width="15" customWidth="1" style="170" min="1" max="1"/>
    <col width="12" customWidth="1" style="170" min="2" max="3"/>
    <col width="9" customWidth="1" style="170" min="4" max="4"/>
    <col width="8" customWidth="1" style="170" min="5" max="5"/>
    <col width="26" customWidth="1" style="170" min="6" max="6"/>
    <col width="8.710000000000001" customWidth="1" style="170" min="7" max="26"/>
  </cols>
  <sheetData>
    <row r="1" ht="24" customHeight="1" s="171">
      <c r="A1" s="177" t="inlineStr">
        <is>
          <t>Base Soda Requirement → Cans &amp; Cases</t>
        </is>
      </c>
    </row>
    <row r="3" ht="15" customHeight="1" s="171">
      <c r="A3" s="178" t="inlineStr">
        <is>
          <t>Base soda</t>
        </is>
      </c>
      <c r="B3" s="178" t="inlineStr">
        <is>
          <t>Total oz</t>
        </is>
      </c>
      <c r="C3" s="178" t="inlineStr">
        <is>
          <t>+buffer</t>
        </is>
      </c>
      <c r="D3" s="178" t="inlineStr">
        <is>
          <t>Cans</t>
        </is>
      </c>
      <c r="E3" s="178" t="inlineStr">
        <is>
          <t>Cases</t>
        </is>
      </c>
      <c r="F3" s="178" t="inlineStr">
        <is>
          <t>Note</t>
        </is>
      </c>
      <c r="G3" s="195" t="inlineStr">
        <is>
          <t>2 L bottles</t>
        </is>
      </c>
      <c r="H3" s="195" t="inlineStr">
        <is>
          <t>oz from 2 L</t>
        </is>
      </c>
      <c r="I3" s="195" t="inlineStr">
        <is>
          <t>Jug draw (oz)</t>
        </is>
      </c>
      <c r="J3" s="195" t="inlineStr">
        <is>
          <t>2 L — extra (manual)</t>
        </is>
      </c>
    </row>
    <row r="4" ht="15" customHeight="1" s="171">
      <c r="A4" s="179" t="inlineStr">
        <is>
          <t>Sprite</t>
        </is>
      </c>
      <c r="B4" s="268">
        <f>SUMPRODUCT(('Dirty Soda - Built Drinks'!$D$3:$D$23=A4)*'Dirty Soda - Built Drinks'!$E$3:$E$23*'Dirty Soda - Built Drinks'!$B$3:$B$23)+SUMPRODUCT(('Dirty Soda - Built Drinks'!$D$3:$D$23="Squirt")*2*'Dirty Soda - Built Drinks'!$B$3:$B$23)+SUMPRODUCT(('Jug Recipes'!$F$4:$F$15="Sprite")*'Jug Recipes'!$G$4:$G$15)+SUMPRODUCT(('Jug Recipes'!$H$4:$H$15="Sprite")*'Jug Recipes'!$I$4:$I$15)+SUMPRODUCT(('Jug Recipes'!$J$4:$J$15="Sprite")*'Jug Recipes'!$K$4:$K$15)+SUMPRODUCT(('Jug Recipes'!$L$4:$L$15="Sprite")*'Jug Recipes'!$M$4:$M$15)+SUMPRODUCT(('Jug Recipes'!$N$4:$N$15="Sprite")*'Jug Recipes'!$O$4:$O$15)</f>
        <v/>
      </c>
      <c r="C4" s="268">
        <f>B4*(1+Assumptions!$B$5)</f>
        <v/>
      </c>
      <c r="D4" s="269">
        <f>CEILING(MAX(C4-H4,0)/(Assumptions!$B$7*Assumptions!$B$157),1)</f>
        <v/>
      </c>
      <c r="E4" s="269">
        <f>CEILING(D4/Assumptions!$B$6,1)</f>
        <v/>
      </c>
      <c r="F4" s="187" t="inlineStr">
        <is>
          <t>Cherry Bomb jug (82.5 oz) comes out of the 2 L — now DERIVED in column G, not typed. The rest — Shirley Temple of Doom + the Squirt top-up — stays in cans.</t>
        </is>
      </c>
      <c r="G4" s="193">
        <f>CEILING(I4*(1+Assumptions!$B$5)/Assumptions!$B$165,1)+J4</f>
        <v/>
      </c>
      <c r="H4" s="233">
        <f>G4*Assumptions!$B$165</f>
        <v/>
      </c>
      <c r="I4" s="193">
        <f>SUMPRODUCT(('Jug Recipes'!$F$4:$F$15=$A$4)*'Jug Recipes'!$G$4:$G$15)+SUMPRODUCT(('Jug Recipes'!$H$4:$H$15=$A$4)*'Jug Recipes'!$I$4:$I$15)+SUMPRODUCT(('Jug Recipes'!$J$4:$J$15=$A$4)*'Jug Recipes'!$K$4:$K$15)+SUMPRODUCT(('Jug Recipes'!$L$4:$L$15=$A$4)*'Jug Recipes'!$M$4:$M$15)+SUMPRODUCT(('Jug Recipes'!$N$4:$N$15=$A$4)*'Jug Recipes'!$O$4:$O$15)</f>
        <v/>
      </c>
      <c r="J4" s="193" t="n">
        <v>0</v>
      </c>
    </row>
    <row r="5" ht="15" customHeight="1" s="171">
      <c r="A5" s="179" t="inlineStr">
        <is>
          <t>Coke</t>
        </is>
      </c>
      <c r="B5" s="268">
        <f>SUMPRODUCT(('Dirty Soda - Built Drinks'!$D$3:$D$23=A5)*'Dirty Soda - Built Drinks'!$E$3:$E$23*'Dirty Soda - Built Drinks'!$B$3:$B$23)</f>
        <v/>
      </c>
      <c r="C5" s="268">
        <f>B5*(1+Assumptions!$B$5)</f>
        <v/>
      </c>
      <c r="D5" s="269">
        <f>CEILING(MAX(C5-H5,0)/(Assumptions!$B$7*Assumptions!$B$157),1)</f>
        <v/>
      </c>
      <c r="E5" s="269">
        <f>CEILING(D5/Assumptions!$B$6,1)</f>
        <v/>
      </c>
      <c r="F5" s="183" t="n"/>
      <c r="G5" s="193">
        <f>CEILING(I5*(1+Assumptions!$B$5)/Assumptions!$B$165,1)+J5</f>
        <v/>
      </c>
      <c r="H5" s="233">
        <f>G5*Assumptions!$B$165</f>
        <v/>
      </c>
      <c r="I5" s="193">
        <f>SUMPRODUCT(('Jug Recipes'!$F$4:$F$15=$A$5)*'Jug Recipes'!$G$4:$G$15)+SUMPRODUCT(('Jug Recipes'!$H$4:$H$15=$A$5)*'Jug Recipes'!$I$4:$I$15)+SUMPRODUCT(('Jug Recipes'!$J$4:$J$15=$A$5)*'Jug Recipes'!$K$4:$K$15)+SUMPRODUCT(('Jug Recipes'!$L$4:$L$15=$A$5)*'Jug Recipes'!$M$4:$M$15)+SUMPRODUCT(('Jug Recipes'!$N$4:$N$15=$A$5)*'Jug Recipes'!$O$4:$O$15)</f>
        <v/>
      </c>
      <c r="J5" s="193" t="n">
        <v>0</v>
      </c>
    </row>
    <row r="6" ht="15" customHeight="1" s="171">
      <c r="A6" s="179" t="inlineStr">
        <is>
          <t>Orange Fanta</t>
        </is>
      </c>
      <c r="B6" s="268">
        <f>SUMPRODUCT(('Dirty Soda - Built Drinks'!$D$3:$D$23=A6)*'Dirty Soda - Built Drinks'!$E$3:$E$23*'Dirty Soda - Built Drinks'!$B$3:$B$23)</f>
        <v/>
      </c>
      <c r="C6" s="268">
        <f>B6*(1+Assumptions!$B$5)</f>
        <v/>
      </c>
      <c r="D6" s="269">
        <f>CEILING(MAX(C6-H6,0)/(Assumptions!$B$7*Assumptions!$B$157),1)</f>
        <v/>
      </c>
      <c r="E6" s="269">
        <f>CEILING(D6/Assumptions!$B$6,1)</f>
        <v/>
      </c>
      <c r="F6" s="183" t="n"/>
      <c r="G6" s="193">
        <f>CEILING(I6*(1+Assumptions!$B$5)/Assumptions!$B$165,1)+J6</f>
        <v/>
      </c>
      <c r="H6" s="233">
        <f>G6*Assumptions!$B$165</f>
        <v/>
      </c>
      <c r="I6" s="193">
        <f>SUMPRODUCT(('Jug Recipes'!$F$4:$F$15=$A$6)*'Jug Recipes'!$G$4:$G$15)+SUMPRODUCT(('Jug Recipes'!$H$4:$H$15=$A$6)*'Jug Recipes'!$I$4:$I$15)+SUMPRODUCT(('Jug Recipes'!$J$4:$J$15=$A$6)*'Jug Recipes'!$K$4:$K$15)+SUMPRODUCT(('Jug Recipes'!$L$4:$L$15=$A$6)*'Jug Recipes'!$M$4:$M$15)+SUMPRODUCT(('Jug Recipes'!$N$4:$N$15=$A$6)*'Jug Recipes'!$O$4:$O$15)</f>
        <v/>
      </c>
      <c r="J6" s="193" t="n">
        <v>0</v>
      </c>
    </row>
    <row r="7" ht="15" customHeight="1" s="171">
      <c r="A7" s="179" t="inlineStr">
        <is>
          <t>Lemonade</t>
        </is>
      </c>
      <c r="B7" s="268">
        <f>SUMPRODUCT(('Dirty Soda - Built Drinks'!$D$3:$D$23=A7)*'Dirty Soda - Built Drinks'!$E$3:$E$23*'Dirty Soda - Built Drinks'!$B$3:$B$23)</f>
        <v/>
      </c>
      <c r="C7" s="268">
        <f>B7*(1+Assumptions!$B$5)</f>
        <v/>
      </c>
      <c r="D7" s="269">
        <f>CEILING(MAX(C7-H7,0)/(Assumptions!$B$7*Assumptions!$B$157),1)</f>
        <v/>
      </c>
      <c r="E7" s="269">
        <f>CEILING(D7/Assumptions!$B$6,1)</f>
        <v/>
      </c>
      <c r="F7" s="183" t="inlineStr">
        <is>
          <t>Mixed/priced separately — READY-TO-DRINK BOTTLES as of 14 Aug 2026 (was powder), sized in 96 oz bottles on Other Consumables row 19. NO CAN FORMAT: the 99 oz the Tuesday Smoke Test draws is already paid for there, so column G is forced to 0 rather than derived, or the jug would buy the lemonade twice. THE 28 CANS / 1 CASE THIS ROW COMPUTES IN COLUMNS D-E ARE A PHANTOM — there is no canned lemonade and no Purchase List row reads them, but they DO inflate the TOTAL on row 14. Do not hand row 14 to a buyer as the soda order.</t>
        </is>
      </c>
      <c r="G7" s="193" t="n">
        <v>0</v>
      </c>
      <c r="H7" s="233">
        <f>G7*Assumptions!$B$165</f>
        <v/>
      </c>
      <c r="I7" s="193">
        <f>SUMPRODUCT(('Jug Recipes'!$F$4:$F$15=$A$7)*'Jug Recipes'!$G$4:$G$15)+SUMPRODUCT(('Jug Recipes'!$H$4:$H$15=$A$7)*'Jug Recipes'!$I$4:$I$15)+SUMPRODUCT(('Jug Recipes'!$J$4:$J$15=$A$7)*'Jug Recipes'!$K$4:$K$15)+SUMPRODUCT(('Jug Recipes'!$L$4:$L$15=$A$7)*'Jug Recipes'!$M$4:$M$15)+SUMPRODUCT(('Jug Recipes'!$N$4:$N$15=$A$7)*'Jug Recipes'!$O$4:$O$15)</f>
        <v/>
      </c>
      <c r="J7" s="193" t="n">
        <v>0</v>
      </c>
    </row>
    <row r="8" ht="15" customHeight="1" s="171">
      <c r="A8" s="179" t="inlineStr">
        <is>
          <t>Dr Pepper</t>
        </is>
      </c>
      <c r="B8" s="268">
        <f>SUMPRODUCT(('Dirty Soda - Built Drinks'!$D$3:$D$23=A8)*'Dirty Soda - Built Drinks'!$E$3:$E$23*'Dirty Soda - Built Drinks'!$B$3:$B$23)</f>
        <v/>
      </c>
      <c r="C8" s="268">
        <f>B8*(1+Assumptions!$B$5)</f>
        <v/>
      </c>
      <c r="D8" s="269">
        <f>CEILING(MAX(C8-H8,0)/(Assumptions!$B$7*Assumptions!$B$157),1)</f>
        <v/>
      </c>
      <c r="E8" s="269">
        <f>CEILING(D8/Assumptions!$B$6,1)</f>
        <v/>
      </c>
      <c r="F8" s="183" t="n"/>
      <c r="G8" s="193">
        <f>CEILING(I8*(1+Assumptions!$B$5)/Assumptions!$B$165,1)+J8</f>
        <v/>
      </c>
      <c r="H8" s="233">
        <f>G8*Assumptions!$B$165</f>
        <v/>
      </c>
      <c r="I8" s="193">
        <f>SUMPRODUCT(('Jug Recipes'!$F$4:$F$15=$A$8)*'Jug Recipes'!$G$4:$G$15)+SUMPRODUCT(('Jug Recipes'!$H$4:$H$15=$A$8)*'Jug Recipes'!$I$4:$I$15)+SUMPRODUCT(('Jug Recipes'!$J$4:$J$15=$A$8)*'Jug Recipes'!$K$4:$K$15)+SUMPRODUCT(('Jug Recipes'!$L$4:$L$15=$A$8)*'Jug Recipes'!$M$4:$M$15)+SUMPRODUCT(('Jug Recipes'!$N$4:$N$15=$A$8)*'Jug Recipes'!$O$4:$O$15)</f>
        <v/>
      </c>
      <c r="J8" s="193" t="n">
        <v>0</v>
      </c>
    </row>
    <row r="9" ht="15" customHeight="1" s="171">
      <c r="A9" s="179" t="inlineStr">
        <is>
          <t>Ginger ale</t>
        </is>
      </c>
      <c r="B9" s="268">
        <f>SUMPRODUCT(('Dirty Soda - Built Drinks'!$D$3:$D$23=A9)*'Dirty Soda - Built Drinks'!$E$3:$E$23*'Dirty Soda - Built Drinks'!$B$3:$B$23)</f>
        <v/>
      </c>
      <c r="C9" s="268">
        <f>B9*(1+Assumptions!$B$5)</f>
        <v/>
      </c>
      <c r="D9" s="269">
        <f>CEILING(MAX(C9-H9,0)/(Assumptions!$B$7*Assumptions!$B$157),1)</f>
        <v/>
      </c>
      <c r="E9" s="269">
        <f>CEILING(D9/Assumptions!$B$6,1)</f>
        <v/>
      </c>
      <c r="F9" s="183" t="n"/>
      <c r="G9" s="193">
        <f>CEILING(I9*(1+Assumptions!$B$5)/Assumptions!$B$165,1)+J9</f>
        <v/>
      </c>
      <c r="H9" s="233">
        <f>G9*Assumptions!$B$165</f>
        <v/>
      </c>
      <c r="I9" s="193">
        <f>SUMPRODUCT(('Jug Recipes'!$F$4:$F$15=$A$9)*'Jug Recipes'!$G$4:$G$15)+SUMPRODUCT(('Jug Recipes'!$H$4:$H$15=$A$9)*'Jug Recipes'!$I$4:$I$15)+SUMPRODUCT(('Jug Recipes'!$J$4:$J$15=$A$9)*'Jug Recipes'!$K$4:$K$15)+SUMPRODUCT(('Jug Recipes'!$L$4:$L$15=$A$9)*'Jug Recipes'!$M$4:$M$15)+SUMPRODUCT(('Jug Recipes'!$N$4:$N$15=$A$9)*'Jug Recipes'!$O$4:$O$15)</f>
        <v/>
      </c>
      <c r="J9" s="193" t="n">
        <v>0</v>
      </c>
    </row>
    <row r="10" ht="15" customHeight="1" s="171">
      <c r="A10" s="179" t="inlineStr">
        <is>
          <t>Squirt</t>
        </is>
      </c>
      <c r="B10" s="268">
        <f>SUMPRODUCT(('Dirty Soda - Built Drinks'!$D$3:$D$23=A10)*'Dirty Soda - Built Drinks'!$E$3:$E$23*'Dirty Soda - Built Drinks'!$B$3:$B$23)</f>
        <v/>
      </c>
      <c r="C10" s="268">
        <f>B10*(1+Assumptions!$B$5)</f>
        <v/>
      </c>
      <c r="D10" s="269">
        <f>CEILING(MAX(C10-H10,0)/(Assumptions!$B$7*Assumptions!$B$157),1)</f>
        <v/>
      </c>
      <c r="E10" s="269">
        <f>CEILING(D10/Assumptions!$B$6,1)</f>
        <v/>
      </c>
      <c r="F10" s="183" t="n"/>
      <c r="G10" s="193">
        <f>CEILING(I10*(1+Assumptions!$B$5)/Assumptions!$B$165,1)+J10</f>
        <v/>
      </c>
      <c r="H10" s="233">
        <f>G10*Assumptions!$B$165</f>
        <v/>
      </c>
      <c r="I10" s="193">
        <f>SUMPRODUCT(('Jug Recipes'!$F$4:$F$15=$A$10)*'Jug Recipes'!$G$4:$G$15)+SUMPRODUCT(('Jug Recipes'!$H$4:$H$15=$A$10)*'Jug Recipes'!$I$4:$I$15)+SUMPRODUCT(('Jug Recipes'!$J$4:$J$15=$A$10)*'Jug Recipes'!$K$4:$K$15)+SUMPRODUCT(('Jug Recipes'!$L$4:$L$15=$A$10)*'Jug Recipes'!$M$4:$M$15)+SUMPRODUCT(('Jug Recipes'!$N$4:$N$15=$A$10)*'Jug Recipes'!$O$4:$O$15)</f>
        <v/>
      </c>
      <c r="J10" s="193" t="n">
        <v>0</v>
      </c>
    </row>
    <row r="11" ht="15" customHeight="1" s="171">
      <c r="A11" s="179" t="inlineStr">
        <is>
          <t>Horchata mix</t>
        </is>
      </c>
      <c r="B11" s="268">
        <f>SUMPRODUCT(('Dirty Soda - Built Drinks'!$D$3:$D$23=A11)*'Dirty Soda - Built Drinks'!$E$3:$E$23*'Dirty Soda - Built Drinks'!$B$3:$B$23)+SUMPRODUCT(('Jug Recipes'!$F$4:$F$15="Horchata mix")*'Jug Recipes'!$G$4:$G$15)+SUMPRODUCT(('Jug Recipes'!$H$4:$H$15="Horchata mix")*'Jug Recipes'!$I$4:$I$15)+SUMPRODUCT(('Jug Recipes'!$J$4:$J$15="Horchata mix")*'Jug Recipes'!$K$4:$K$15)+SUMPRODUCT(('Jug Recipes'!$L$4:$L$15="Horchata mix")*'Jug Recipes'!$M$4:$M$15)+SUMPRODUCT(('Jug Recipes'!$N$4:$N$15="Horchata mix")*'Jug Recipes'!$O$4:$O$15)</f>
        <v/>
      </c>
      <c r="C11" s="268">
        <f>B11*(1+Assumptions!$B$5)</f>
        <v/>
      </c>
      <c r="D11" s="269">
        <f>CEILING(MAX(C11-H11,0)/(Assumptions!$B$7*Assumptions!$B$157),1)</f>
        <v/>
      </c>
      <c r="E11" s="269">
        <f>CEILING(D11/Assumptions!$B$6,1)</f>
        <v/>
      </c>
      <c r="F11" s="183" t="inlineStr">
        <is>
          <t>Mixed/priced separately — concentrate, sized as case-equiv on Purchase List row 46. NO BOTTLE FORMAT, same reason as lemonade on row 7: the 165 oz the Friday Whore-chata draws is already paid for, so column G is forced to 0 rather than derived.</t>
        </is>
      </c>
      <c r="G11" s="193" t="n">
        <v>0</v>
      </c>
      <c r="H11" s="233">
        <f>G11*Assumptions!$B$165</f>
        <v/>
      </c>
      <c r="I11" s="193">
        <f>SUMPRODUCT(('Jug Recipes'!$F$4:$F$15=$A$11)*'Jug Recipes'!$G$4:$G$15)+SUMPRODUCT(('Jug Recipes'!$H$4:$H$15=$A$11)*'Jug Recipes'!$I$4:$I$15)+SUMPRODUCT(('Jug Recipes'!$J$4:$J$15=$A$11)*'Jug Recipes'!$K$4:$K$15)+SUMPRODUCT(('Jug Recipes'!$L$4:$L$15=$A$11)*'Jug Recipes'!$M$4:$M$15)+SUMPRODUCT(('Jug Recipes'!$N$4:$N$15=$A$11)*'Jug Recipes'!$O$4:$O$15)</f>
        <v/>
      </c>
      <c r="J11" s="193" t="n">
        <v>0</v>
      </c>
    </row>
    <row r="12" ht="15" customHeight="1" s="171">
      <c r="A12" s="189" t="inlineStr">
        <is>
          <t>Mountain Dew</t>
        </is>
      </c>
      <c r="B12" s="270">
        <f>SUMPRODUCT(('Dirty Soda - Built Drinks'!$D$3:$D$23=A12)*'Dirty Soda - Built Drinks'!$E$3:$E$23*'Dirty Soda - Built Drinks'!$B$3:$B$23)+SUMPRODUCT(('Jug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Recipes'!$O$4:$O$15)+SUMPRODUCT(('Dirty Soda - Built Drinks'!$F$3:$F$23="Mountain Dew")*'Dirty Soda - Built Drinks'!$G$3:$G$23*'Dirty Soda - Built Drinks'!$B$3:$B$23)+SUMPRODUCT(('Dirty Soda - Built Drinks'!$H$3:$H$23="Mountain Dew")*'Dirty Soda - Built Drinks'!$I$3:$I$23*'Dirty Soda - Built Drinks'!$B$3:$B$23)</f>
        <v/>
      </c>
      <c r="C12" s="270">
        <f>B12*(1+Assumptions!$B$5)</f>
        <v/>
      </c>
      <c r="D12" s="270">
        <f>CEILING(MAX(C12-H12,0)/(Assumptions!$B$7*Assumptions!$B$157),1)</f>
        <v/>
      </c>
      <c r="E12" s="270">
        <f>CEILING(D12/Assumptions!$B$6,1)</f>
        <v/>
      </c>
      <c r="F12" s="190" t="inlineStr">
        <is>
          <t>READS ZERO — SCOBY-Dew was retired 11 Aug 2026 and was the only draw on this line. Kept live because it is derived from the recipe. The camper Mountain Dew (Assumptions B258, Purchase List row 45) is a separate pool and is deliberately NOT counted here: it is camp stock, not a build ingredient.</t>
        </is>
      </c>
      <c r="G12" s="193">
        <f>CEILING(I12*(1+Assumptions!$B$5)/Assumptions!$B$165,1)+J12</f>
        <v/>
      </c>
      <c r="H12" s="233">
        <f>G12*Assumptions!$B$165</f>
        <v/>
      </c>
      <c r="I12" s="193">
        <f>SUMPRODUCT(('Jug Recipes'!$F$4:$F$15=$A$12)*'Jug Recipes'!$G$4:$G$15)+SUMPRODUCT(('Jug Recipes'!$H$4:$H$15=$A$12)*'Jug Recipes'!$I$4:$I$15)+SUMPRODUCT(('Jug Recipes'!$J$4:$J$15=$A$12)*'Jug Recipes'!$K$4:$K$15)+SUMPRODUCT(('Jug Recipes'!$L$4:$L$15=$A$12)*'Jug Recipes'!$M$4:$M$15)+SUMPRODUCT(('Jug Recipes'!$N$4:$N$15=$A$12)*'Jug Recipes'!$O$4:$O$15)</f>
        <v/>
      </c>
      <c r="J12" s="193" t="n">
        <v>0</v>
      </c>
    </row>
    <row r="13" ht="15" customHeight="1" s="171">
      <c r="A13" s="192" t="inlineStr">
        <is>
          <t>Root beer</t>
        </is>
      </c>
      <c r="B13" s="170">
        <f>SUMPRODUCT(('Dirty Soda - Built Drinks'!$D$3:$D$23=A13)*'Dirty Soda - Built Drinks'!$E$3:$E$23*'Dirty Soda - Built Drinks'!$B$3:$B$23)</f>
        <v/>
      </c>
      <c r="C13" s="170">
        <f>B13*(1+Assumptions!$B$5)</f>
        <v/>
      </c>
      <c r="D13" s="170">
        <f>CEILING(MAX(C13-H13,0)/(Assumptions!$B$7*Assumptions!$B$157),1)</f>
        <v/>
      </c>
      <c r="E13" s="170">
        <f>CEILING(D13/Assumptions!$B$6,1)</f>
        <v/>
      </c>
      <c r="F13" s="174" t="inlineStr">
        <is>
          <t>A&amp;W 36-pack is $15.99 at Costco — $0.44/can, the cheapest base on the board and effectively identical to the 35-pack price already assumed.</t>
        </is>
      </c>
      <c r="G13" s="193">
        <f>CEILING(I13*(1+Assumptions!$B$5)/Assumptions!$B$165,1)+J13</f>
        <v/>
      </c>
      <c r="H13" s="192">
        <f>G13*Assumptions!$B$165</f>
        <v/>
      </c>
      <c r="I13" s="193">
        <f>SUMPRODUCT(('Jug Recipes'!$F$4:$F$15=$A$13)*'Jug Recipes'!$G$4:$G$15)+SUMPRODUCT(('Jug Recipes'!$H$4:$H$15=$A$13)*'Jug Recipes'!$I$4:$I$15)+SUMPRODUCT(('Jug Recipes'!$J$4:$J$15=$A$13)*'Jug Recipes'!$K$4:$K$15)+SUMPRODUCT(('Jug Recipes'!$L$4:$L$15=$A$13)*'Jug Recipes'!$M$4:$M$15)+SUMPRODUCT(('Jug Recipes'!$N$4:$N$15=$A$13)*'Jug Recipes'!$O$4:$O$15)</f>
        <v/>
      </c>
      <c r="J13" s="193" t="n">
        <v>0</v>
      </c>
    </row>
    <row r="14" ht="15" customHeight="1" s="171">
      <c r="A14" s="170" t="inlineStr">
        <is>
          <t>TOTAL</t>
        </is>
      </c>
      <c r="B14" s="170">
        <f>SUM(B4:B13)</f>
        <v/>
      </c>
      <c r="C14" s="170">
        <f>SUM(C4:C13)</f>
        <v/>
      </c>
      <c r="D14" s="170">
        <f>SUM(D4:D13)</f>
        <v/>
      </c>
      <c r="E14" s="170">
        <f>SUM(E4:E13)</f>
        <v/>
      </c>
      <c r="F14" s="170" t="inlineStr">
        <is>
          <t>THREE FORMATS, ON PURPOSE. CANS for the built-to-order dirty sodas — a 3-4 oz pour off a 12 oz can carries the waste factor on Assumptions B157. 2 L for anything a JUG batch drinks, because a jug is poured out in one go and wastes nothing; column G derives that straight from the jug recipes (column I is the jug draw it reads), and column J is the manual override for 2 L that no jug asks for. 1 L for the bar-service mixers — soda water and tonic — which are on the Other Consumables and Bar Add-Ons tabs, not here. Bottles are subtracted from the can requirement automatically. CASES = cans / 35.</t>
        </is>
      </c>
      <c r="G14" s="170">
        <f>SUM(G4:G13)</f>
        <v/>
      </c>
      <c r="H14" s="170">
        <f>SUM(H4:H13)</f>
        <v/>
      </c>
      <c r="I14" s="170">
        <f>SUM(I4:I13)</f>
        <v/>
      </c>
      <c r="J14" s="170">
        <f>SUM(J4:J13)</f>
        <v/>
      </c>
    </row>
    <row r="21" ht="15.75" customHeight="1" s="171"/>
    <row r="22" ht="15.75" customHeight="1" s="171"/>
    <row r="23" ht="15.75" customHeight="1" s="171"/>
    <row r="24" ht="15.75" customHeight="1" s="171"/>
    <row r="25" ht="15.75" customHeight="1" s="171"/>
    <row r="26" ht="15.75" customHeight="1" s="171"/>
    <row r="27" ht="15.75" customHeight="1" s="171"/>
    <row r="28" ht="15.75" customHeight="1" s="171"/>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61" activeCellId="0" sqref="C461"/>
    </sheetView>
  </sheetViews>
  <sheetFormatPr baseColWidth="8" defaultColWidth="14.4296875" defaultRowHeight="15" zeroHeight="0" outlineLevelRow="0"/>
  <cols>
    <col width="22" customWidth="1" style="170" min="1" max="1"/>
    <col width="12" customWidth="1" style="170" min="2" max="3"/>
    <col width="9" customWidth="1" style="170" min="4" max="4"/>
    <col width="28" customWidth="1" style="170" min="5" max="5"/>
    <col width="8.710000000000001" customWidth="1" style="170" min="6" max="26"/>
  </cols>
  <sheetData>
    <row r="1" ht="24" customHeight="1" s="171">
      <c r="A1" s="177" t="inlineStr">
        <is>
          <t>Other Consumables — syrups, cream, dairy, garnish</t>
        </is>
      </c>
    </row>
    <row r="3" ht="15" customHeight="1" s="171">
      <c r="A3" s="215" t="inlineStr">
        <is>
          <t>SYRUPS</t>
        </is>
      </c>
    </row>
    <row r="4" ht="15" customHeight="1" s="171">
      <c r="A4" s="216" t="inlineStr">
        <is>
          <t>Syrup</t>
        </is>
      </c>
      <c r="B4" s="216" t="inlineStr">
        <is>
          <t>Total oz</t>
        </is>
      </c>
      <c r="C4" s="216" t="inlineStr">
        <is>
          <t>+buffer</t>
        </is>
      </c>
      <c r="D4" s="216" t="inlineStr">
        <is>
          <t>Bottles</t>
        </is>
      </c>
      <c r="E4" s="216" t="inlineStr">
        <is>
          <t>Note</t>
        </is>
      </c>
    </row>
    <row r="5" ht="15" customHeight="1" s="171">
      <c r="A5" s="179" t="inlineStr">
        <is>
          <t>Peach</t>
        </is>
      </c>
      <c r="B5" s="268">
        <f>SUMPRODUCT(('Dirty Soda - Built Drinks'!$F$3:$F$23=A5)*'Dirty Soda - Built Drinks'!$G$3:$G$23*'Dirty Soda - Built Drinks'!$B$3:$B$23)+SUMPRODUCT(('Dirty Soda - Built Drinks'!$H$3:$H$23=A5)*'Dirty Soda - Built Drinks'!$I$3:$I$23*'Dirty Soda - Built Drinks'!$B$3:$B$23)+SUMPRODUCT(('Jug Recipes'!$F$4:$F$15="Peach syrup")*'Jug Recipes'!$G$4:$G$15)+SUMPRODUCT(('Jug Recipes'!$H$4:$H$15="Peach syrup")*'Jug Recipes'!$I$4:$I$15)+SUMPRODUCT(('Jug Recipes'!$J$4:$J$15="Peach syrup")*'Jug Recipes'!$K$4:$K$15)+SUMPRODUCT(('Jug Recipes'!$L$4:$L$15="Peach syrup")*'Jug Recipes'!$M$4:$M$15)+SUMPRODUCT(('Jug Recipes'!$N$4:$N$15="Peach syrup")*'Jug Recipes'!$O$4:$O$15)</f>
        <v/>
      </c>
      <c r="C5" s="268">
        <f>B5*(1+Assumptions!$B$5)</f>
        <v/>
      </c>
      <c r="D5" s="269">
        <f>CEILING(C5/Assumptions!$B$8,1)</f>
        <v/>
      </c>
      <c r="E5" s="179" t="inlineStr">
        <is>
          <t>Torani 750ml</t>
        </is>
      </c>
    </row>
    <row r="6" ht="15" customHeight="1" s="171">
      <c r="A6" s="179" t="inlineStr">
        <is>
          <t>Pineapple</t>
        </is>
      </c>
      <c r="B6" s="268">
        <f>SUMPRODUCT(('Dirty Soda - Built Drinks'!$F$3:$F$23=A6)*'Dirty Soda - Built Drinks'!$G$3:$G$23*'Dirty Soda - Built Drinks'!$B$3:$B$23)+SUMPRODUCT(('Dirty Soda - Built Drinks'!$H$3:$H$23=A6)*'Dirty Soda - Built Drinks'!$I$3:$I$23*'Dirty Soda - Built Drinks'!$B$3:$B$23)+SUMPRODUCT(('Jug Recipes'!$F$4:$F$15="Pineapple syrup")*'Jug Recipes'!$G$4:$G$15)+SUMPRODUCT(('Jug Recipes'!$H$4:$H$15="Pineapple syrup")*'Jug Recipes'!$I$4:$I$15)+SUMPRODUCT(('Jug Recipes'!$J$4:$J$15="Pineapple syrup")*'Jug Recipes'!$K$4:$K$15)+SUMPRODUCT(('Jug Recipes'!$L$4:$L$15="Pineapple syrup")*'Jug Recipes'!$M$4:$M$15)+SUMPRODUCT(('Jug Recipes'!$N$4:$N$15="Pineapple syrup")*'Jug Recipes'!$O$4:$O$15)</f>
        <v/>
      </c>
      <c r="C6" s="268">
        <f>B6*(1+Assumptions!$B$5)</f>
        <v/>
      </c>
      <c r="D6" s="269">
        <f>CEILING(C6/Assumptions!$B$8,1)</f>
        <v/>
      </c>
      <c r="E6" s="179" t="inlineStr">
        <is>
          <t>Torani 750ml</t>
        </is>
      </c>
    </row>
    <row r="7" ht="15" customHeight="1" s="171">
      <c r="A7" s="179" t="inlineStr">
        <is>
          <t>Vanilla</t>
        </is>
      </c>
      <c r="B7" s="268">
        <f>SUMPRODUCT(('Dirty Soda - Built Drinks'!$F$3:$F$23=A7)*'Dirty Soda - Built Drinks'!$G$3:$G$23*'Dirty Soda - Built Drinks'!$B$3:$B$23)+SUMPRODUCT(('Dirty Soda - Built Drinks'!$H$3:$H$23=A7)*'Dirty Soda - Built Drinks'!$I$3:$I$23*'Dirty Soda - Built Drinks'!$B$3:$B$23)+SUMPRODUCT(('Jug Recipes'!$F$4:$F$15="Vanilla syrup")*'Jug Recipes'!$G$4:$G$15)+SUMPRODUCT(('Jug Recipes'!$H$4:$H$15="Vanilla syrup")*'Jug Recipes'!$I$4:$I$15)+SUMPRODUCT(('Jug Recipes'!$J$4:$J$15="Vanilla syrup")*'Jug Recipes'!$K$4:$K$15)+SUMPRODUCT(('Jug Recipes'!$L$4:$L$15="Vanilla syrup")*'Jug Recipes'!$M$4:$M$15)+SUMPRODUCT(('Jug Recipes'!$N$4:$N$15="Vanilla syrup")*'Jug Recipes'!$O$4:$O$15)</f>
        <v/>
      </c>
      <c r="C7" s="268">
        <f>B7*(1+Assumptions!$B$5)</f>
        <v/>
      </c>
      <c r="D7" s="269">
        <f>CEILING(C7/Assumptions!$B$8,1)</f>
        <v/>
      </c>
      <c r="E7" s="179" t="inlineStr">
        <is>
          <t>Torani 750ml</t>
        </is>
      </c>
    </row>
    <row r="8" ht="15" customHeight="1" s="171">
      <c r="A8" s="179" t="inlineStr">
        <is>
          <t>Cherry</t>
        </is>
      </c>
      <c r="B8" s="268">
        <f>SUMPRODUCT(('Dirty Soda - Built Drinks'!$F$3:$F$23=A8)*'Dirty Soda - Built Drinks'!$G$3:$G$23*'Dirty Soda - Built Drinks'!$B$3:$B$23)+SUMPRODUCT(('Dirty Soda - Built Drinks'!$H$3:$H$23=A8)*'Dirty Soda - Built Drinks'!$I$3:$I$23*'Dirty Soda - Built Drinks'!$B$3:$B$23)+SUMPRODUCT(('Jug Recipes'!$F$4:$F$15="Cherry syrup")*'Jug Recipes'!$G$4:$G$15)+SUMPRODUCT(('Jug Recipes'!$H$4:$H$15="Cherry syrup")*'Jug Recipes'!$I$4:$I$15)+SUMPRODUCT(('Jug Recipes'!$J$4:$J$15="Cherry syrup")*'Jug Recipes'!$K$4:$K$15)+SUMPRODUCT(('Jug Recipes'!$L$4:$L$15="Cherry syrup")*'Jug Recipes'!$M$4:$M$15)+SUMPRODUCT(('Jug Recipes'!$N$4:$N$15="Cherry syrup")*'Jug Recipes'!$O$4:$O$15)</f>
        <v/>
      </c>
      <c r="C8" s="268">
        <f>B8*(1+Assumptions!$B$5)</f>
        <v/>
      </c>
      <c r="D8" s="269">
        <f>CEILING(C8/Assumptions!$B$8,1)</f>
        <v/>
      </c>
      <c r="E8" s="179" t="inlineStr">
        <is>
          <t>Torani 750ml</t>
        </is>
      </c>
    </row>
    <row r="9" ht="15" customHeight="1" s="171">
      <c r="A9" s="179" t="inlineStr">
        <is>
          <t>Watermelon</t>
        </is>
      </c>
      <c r="B9" s="268">
        <f>SUMPRODUCT(('Dirty Soda - Built Drinks'!$F$3:$F$23=A9)*'Dirty Soda - Built Drinks'!$G$3:$G$23*'Dirty Soda - Built Drinks'!$B$3:$B$23)+SUMPRODUCT(('Dirty Soda - Built Drinks'!$H$3:$H$23=A9)*'Dirty Soda - Built Drinks'!$I$3:$I$23*'Dirty Soda - Built Drinks'!$B$3:$B$23)+SUMPRODUCT(('Jug Recipes'!$F$4:$F$15="Watermelon syrup")*'Jug Recipes'!$G$4:$G$15)+SUMPRODUCT(('Jug Recipes'!$H$4:$H$15="Watermelon syrup")*'Jug Recipes'!$I$4:$I$15)+SUMPRODUCT(('Jug Recipes'!$J$4:$J$15="Watermelon syrup")*'Jug Recipes'!$K$4:$K$15)+SUMPRODUCT(('Jug Recipes'!$L$4:$L$15="Watermelon syrup")*'Jug Recipes'!$M$4:$M$15)+SUMPRODUCT(('Jug Recipes'!$N$4:$N$15="Watermelon syrup")*'Jug Recipes'!$O$4:$O$15)</f>
        <v/>
      </c>
      <c r="C9" s="268">
        <f>B9*(1+Assumptions!$B$5)</f>
        <v/>
      </c>
      <c r="D9" s="269">
        <f>CEILING(C9/Assumptions!$B$8,1)</f>
        <v/>
      </c>
      <c r="E9" s="179" t="inlineStr">
        <is>
          <t>Torani 750ml — READS ZERO NOW, and that is correct. The Watermelon Sugar High moved to real watermelon juice (row 51) and was the only thing drawing on this syrup. The row is kept live because watermelon is one of the seven Torani flavours already in stock for Italian sodas — putting it back into a build costs nothing but a number in a recipe.</t>
        </is>
      </c>
    </row>
    <row r="10" ht="15" customHeight="1" s="171">
      <c r="A10" s="179" t="inlineStr">
        <is>
          <t>Melon</t>
        </is>
      </c>
      <c r="B10" s="268">
        <f>SUMPRODUCT(('Dirty Soda - Built Drinks'!$F$3:$F$23=A10)*'Dirty Soda - Built Drinks'!$G$3:$G$23*'Dirty Soda - Built Drinks'!$B$3:$B$23)+SUMPRODUCT(('Dirty Soda - Built Drinks'!$H$3:$H$23=A10)*'Dirty Soda - Built Drinks'!$I$3:$I$23*'Dirty Soda - Built Drinks'!$B$3:$B$23)</f>
        <v/>
      </c>
      <c r="C10" s="268">
        <f>B10*(1+Assumptions!$B$5)</f>
        <v/>
      </c>
      <c r="D10" s="269">
        <f>CEILING(C10/Assumptions!$B$8,1)</f>
        <v/>
      </c>
      <c r="E10" s="179" t="inlineStr">
        <is>
          <t>SWAPPED OFF TORANI 18 Aug 2026 — bought separately as Marjan Boudan Melon Syrup, 21.3 oz (confirmed on Amazon), not pooled into the Torani 750 ml bottle count any more. See Purchase List row 97 and Assumptions B265/B266. Catboy Snot's only syrup.</t>
        </is>
      </c>
    </row>
    <row r="11" ht="15" customHeight="1" s="171">
      <c r="A11" s="179" t="inlineStr">
        <is>
          <t>Lemon</t>
        </is>
      </c>
      <c r="B11" s="268">
        <f>SUMPRODUCT(('Dirty Soda - Built Drinks'!$F$3:$F$23=A11)*'Dirty Soda - Built Drinks'!$G$3:$G$23*'Dirty Soda - Built Drinks'!$B$3:$B$23)+SUMPRODUCT(('Dirty Soda - Built Drinks'!$H$3:$H$23=A11)*'Dirty Soda - Built Drinks'!$I$3:$I$23*'Dirty Soda - Built Drinks'!$B$3:$B$23)+SUMPRODUCT(('Jug Recipes'!$F$4:$F$15="Lemon syrup")*'Jug Recipes'!$G$4:$G$15)+SUMPRODUCT(('Jug Recipes'!$H$4:$H$15="Lemon syrup")*'Jug Recipes'!$I$4:$I$15)+SUMPRODUCT(('Jug Recipes'!$J$4:$J$15="Lemon syrup")*'Jug Recipes'!$K$4:$K$15)+SUMPRODUCT(('Jug Recipes'!$L$4:$L$15="Lemon syrup")*'Jug Recipes'!$M$4:$M$15)+SUMPRODUCT(('Jug Recipes'!$N$4:$N$15="Lemon syrup")*'Jug Recipes'!$O$4:$O$15)</f>
        <v/>
      </c>
      <c r="C11" s="268">
        <f>B11*(1+Assumptions!$B$5)</f>
        <v/>
      </c>
      <c r="D11" s="269">
        <f>CEILING(C11/Assumptions!$B$8,1)</f>
        <v/>
      </c>
      <c r="E11" s="179" t="inlineStr">
        <is>
          <t>Torani 750ml</t>
        </is>
      </c>
    </row>
    <row r="12" ht="15" customHeight="1" s="171">
      <c r="A12" s="189" t="inlineStr">
        <is>
          <t>TOTAL</t>
        </is>
      </c>
      <c r="B12" s="270">
        <f>SUM(B5:B9,B11)+Assumptions!$B$160*Assumptions!$B$162</f>
        <v/>
      </c>
      <c r="C12" s="270">
        <f>SUM(C5:C9,C11)+Assumptions!$B$160*Assumptions!$B$162*(1+Assumptions!$B$5)</f>
        <v/>
      </c>
      <c r="D12" s="270">
        <f>SUM(D5:D9,D11)+CEILING(Assumptions!$B$160*Assumptions!$B$162*(1+Assumptions!$B$5)/Assumptions!$B$8,1)</f>
        <v/>
      </c>
      <c r="E12" s="190" t="inlineStr">
        <is>
          <t>TOTAL incl. Italian soda syrup draw (Assumptions B160 x B162). MELON EXCLUDED 18 Aug 2026 — bought separately as Boudan Melon Syrup (Purchase List row 97), not pooled Torani.</t>
        </is>
      </c>
    </row>
    <row r="13" ht="15" customHeight="1" s="171"/>
    <row r="14" ht="15" customHeight="1" s="171">
      <c r="A14" s="215" t="inlineStr">
        <is>
          <t>CREAM, DAIRY &amp; NON-CANNED BASES</t>
        </is>
      </c>
    </row>
    <row r="15" ht="15" customHeight="1" s="171">
      <c r="A15" s="216" t="inlineStr">
        <is>
          <t>Item</t>
        </is>
      </c>
      <c r="B15" s="216" t="inlineStr">
        <is>
          <t>Total oz</t>
        </is>
      </c>
      <c r="C15" s="216" t="inlineStr">
        <is>
          <t>+buffer</t>
        </is>
      </c>
      <c r="D15" s="216" t="inlineStr">
        <is>
          <t>Units</t>
        </is>
      </c>
      <c r="E15" s="216" t="inlineStr">
        <is>
          <t>Unit/note</t>
        </is>
      </c>
    </row>
    <row r="16" ht="15" customHeight="1" s="171">
      <c r="A16" s="179" t="inlineStr">
        <is>
          <t>Cream of coconut</t>
        </is>
      </c>
      <c r="B16" s="268">
        <f>SUMPRODUCT('Dirty Soda - Built Drinks'!$K$3:$K$23*'Dirty Soda - Built Drinks'!$B$3:$B$23)+SUMPRODUCT(('Jug Recipes'!$F$4:$F$15="Coconut cream")*'Jug Recipes'!$G$4:$G$15)+SUMPRODUCT(('Jug Recipes'!$H$4:$H$15="Coconut cream")*'Jug Recipes'!$I$4:$I$15)+SUMPRODUCT(('Jug Recipes'!$J$4:$J$15="Coconut cream")*'Jug Recipes'!$K$4:$K$15)+SUMPRODUCT(('Jug Recipes'!$L$4:$L$15="Coconut cream")*'Jug Recipes'!$M$4:$M$15)+SUMPRODUCT(('Jug Recipes'!$N$4:$N$15="Coconut cream")*'Jug Recipes'!$O$4:$O$15)</f>
        <v/>
      </c>
      <c r="C16" s="268">
        <f>B16*(1+Assumptions!$B$5)</f>
        <v/>
      </c>
      <c r="D16" s="269">
        <f>CEILING(C16/Assumptions!$B$9,1)</f>
        <v/>
      </c>
      <c r="E16" s="179" t="inlineStr">
        <is>
          <t>22oz squeeze bottles (Amazon)</t>
        </is>
      </c>
    </row>
    <row r="17" ht="15" customHeight="1" s="171">
      <c r="A17" s="179" t="inlineStr">
        <is>
          <t>Passion fruit purée</t>
        </is>
      </c>
      <c r="B17" s="268">
        <f>SUMPRODUCT(('Dirty Soda - Built Drinks'!$F$3:$F$23=A17)*'Dirty Soda - Built Drinks'!$G$3:$G$23*'Dirty Soda - Built Drinks'!$B$3:$B$23)+SUMPRODUCT(('Dirty Soda - Built Drinks'!$H$3:$H$23=A17)*'Dirty Soda - Built Drinks'!$I$3:$I$23*'Dirty Soda - Built Drinks'!$B$3:$B$23)+SUMPRODUCT(('Jug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Recipes'!$O$4:$O$15)+'Dirty Soda - Built Drinks'!$B$13*Assumptions!$B$118</f>
        <v/>
      </c>
      <c r="C17" s="268">
        <f>B17*(1+Assumptions!$B$5)</f>
        <v/>
      </c>
      <c r="D17" s="269">
        <f>CEILING(C17/Assumptions!$B$91,1)</f>
        <v/>
      </c>
      <c r="E17" s="179" t="inlineStr">
        <is>
          <t>22oz squeeze bottles (Amazon)</t>
        </is>
      </c>
    </row>
    <row r="18" ht="15" customHeight="1" s="171">
      <c r="A18" s="179" t="inlineStr">
        <is>
          <t>Pineapple purée</t>
        </is>
      </c>
      <c r="B18" s="268">
        <f>SUMPRODUCT(('Dirty Soda - Built Drinks'!$F$3:$F$23=A18)*'Dirty Soda - Built Drinks'!$G$3:$G$23*'Dirty Soda - Built Drinks'!$B$3:$B$23)+SUMPRODUCT(('Dirty Soda - Built Drinks'!$H$3:$H$23=A18)*'Dirty Soda - Built Drinks'!$I$3:$I$23*'Dirty Soda - Built Drinks'!$B$3:$B$23)+SUMPRODUCT(('Jug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f>
        <v/>
      </c>
      <c r="C18" s="268">
        <f>B18*(1+Assumptions!$B$5)</f>
        <v/>
      </c>
      <c r="D18" s="269">
        <f>CEILING(C18/Assumptions!$B$91,1)</f>
        <v/>
      </c>
      <c r="E18" s="179" t="inlineStr">
        <is>
          <t>22oz squeeze bottles (Amazon)</t>
        </is>
      </c>
    </row>
    <row r="19" ht="15" customHeight="1" s="171">
      <c r="A19" s="179" t="inlineStr">
        <is>
          <t>Lemonade (base)</t>
        </is>
      </c>
      <c r="B19" s="268">
        <f>SUMPRODUCT(('Dirty Soda - Built Drinks'!$D$3:$D$23="Lemonade")*'Dirty Soda - Built Drinks'!$E$3:$E$23*'Dirty Soda - Built Drinks'!$B$3:$B$23)+SUMPRODUCT(('Jug Recipes'!$F$4:$F$15="Lemonade")*'Jug Recipes'!$G$4:$G$15)+SUMPRODUCT(('Jug Recipes'!$H$4:$H$15="Lemonade")*'Jug Recipes'!$I$4:$I$15)+SUMPRODUCT(('Jug Recipes'!$J$4:$J$15="Lemonade")*'Jug Recipes'!$K$4:$K$15)+SUMPRODUCT(('Jug Recipes'!$L$4:$L$15="Lemonade")*'Jug Recipes'!$M$4:$M$15)+SUMPRODUCT(('Jug Recipes'!$N$4:$N$15="Lemonade")*'Jug Recipes'!$O$4:$O$15)+SUMPRODUCT(('Dirty Soda - Built Drinks'!$F$3:$F$23="Lemonade")*'Dirty Soda - Built Drinks'!$G$3:$G$23*'Dirty Soda - Built Drinks'!$B$3:$B$23)+SUMPRODUCT(('Dirty Soda - Built Drinks'!$H$3:$H$23="Lemonade")*'Dirty Soda - Built Drinks'!$I$3:$I$23*'Dirty Soda - Built Drinks'!$B$3:$B$23)+Assumptions!$B$300</f>
        <v/>
      </c>
      <c r="C19" s="268">
        <f>B19*(1+Assumptions!$B$5)</f>
        <v/>
      </c>
      <c r="D19" s="269">
        <f>CEILING(C19/96,1)</f>
        <v/>
      </c>
      <c r="E19" s="179" t="inlineStr">
        <is>
          <t>96 oz bottles — Kirkland Organic, bought as 2-count packs (4 bottles = 2 packs)</t>
        </is>
      </c>
    </row>
    <row r="20" ht="15" customHeight="1" s="171">
      <c r="A20" s="170" t="inlineStr">
        <is>
          <t>Soda water</t>
        </is>
      </c>
      <c r="B20" s="170">
        <f>SUMPRODUCT('Dirty Soda - Built Drinks'!$J$3:$J$23*'Dirty Soda - Built Drinks'!$B$3:$B$23)+SUMPRODUCT(('Jug Recipes'!$F$4:$F$15="Soda water")*'Jug Recipes'!$G$4:$G$15)+SUMPRODUCT(('Jug Recipes'!$H$4:$H$15="Soda water")*'Jug Recipes'!$I$4:$I$15)+SUMPRODUCT(('Jug Recipes'!$J$4:$J$15="Soda water")*'Jug Recipes'!$K$4:$K$15)+SUMPRODUCT(('Jug Recipes'!$L$4:$L$15="Soda water")*'Jug Recipes'!$M$4:$M$15)+SUMPRODUCT(('Jug Recipes'!$N$4:$N$15="Soda water")*'Jug Recipes'!$O$4:$O$15)+Assumptions!$B$160*Assumptions!$B$161</f>
        <v/>
      </c>
      <c r="C20" s="170">
        <f>B20*(1+Assumptions!$B$5)</f>
        <v/>
      </c>
      <c r="D20" s="170">
        <f>CEILING(C20/(Assumptions!$B$235*Assumptions!$B$238),1)</f>
        <v/>
      </c>
      <c r="E20" s="170" t="inlineStr">
        <is>
          <t>1 L bottles — incl. Italian sodas. MOVED OFF CANS 8 Aug 2026. Soda water is the one line where cans were worst: the draw is 120 Italian sodas at 8 oz plus a lot of 0.5-2 oz splashes, so a 12 oz can was either two-thirds wasted or poured flat, which is why it carried the same 0.7 waste factor as the base sodas. A recapped 1 L bottle holds pressure (Assumptions B238, 0.9) and pours four Italian sodas. Fewer units, less volume to haul and cheaper. The 33 oz the Sunday Cherry Bomb jug takes is one bottle almost exactly.</t>
        </is>
      </c>
    </row>
    <row r="21" ht="15.75" customHeight="1" s="171">
      <c r="A21" s="247" t="inlineStr">
        <is>
          <t>Tangerine juice</t>
        </is>
      </c>
      <c r="B21" s="170">
        <f>SUMPRODUCT(('Dirty Soda - Built Drinks'!$F$3:$F$23="Tangerine juice")*'Dirty Soda - Built Drinks'!$G$3:$G$23*'Dirty Soda - Built Drinks'!$B$3:$B$23)+SUMPRODUCT(('Dirty Soda - Built Drinks'!$H$3:$H$23="Tangerine juice")*'Dirty Soda - Built Drinks'!$I$3:$I$23*'Dirty Soda - Built Drinks'!$B$3:$B$23)</f>
        <v/>
      </c>
      <c r="C21" s="170">
        <f>B21*(1+Assumptions!$B$5)</f>
        <v/>
      </c>
      <c r="D21" s="170">
        <f>CEILING(C21/Assumptions!$B$89,1)</f>
        <v/>
      </c>
      <c r="E21" s="170" t="inlineStr">
        <is>
          <t>52oz bottles</t>
        </is>
      </c>
    </row>
    <row r="22" ht="15.75" customHeight="1" s="171">
      <c r="A22" s="170" t="inlineStr">
        <is>
          <t>Garnish/misc: fresh mint &amp; basil, limes, cinnamon (horchata), ice, cups, straws. Pickle brine is no longer in this catch-all — it is itemized on row 50. Keg add-ons priced on Beverage Lines tab.</t>
        </is>
      </c>
    </row>
    <row r="23" ht="15.75" customHeight="1" s="171"/>
    <row r="24" ht="15.75" customHeight="1" s="171">
      <c r="A24" s="215" t="inlineStr">
        <is>
          <t>LIQUOR (OPTIONAL ADD-ON)</t>
        </is>
      </c>
    </row>
    <row r="25" ht="15.75" customHeight="1" s="171">
      <c r="A25" s="216" t="inlineStr">
        <is>
          <t>Liquor</t>
        </is>
      </c>
      <c r="B25" s="216" t="inlineStr">
        <is>
          <t>Total oz</t>
        </is>
      </c>
      <c r="C25" s="216" t="inlineStr">
        <is>
          <t>+buffer</t>
        </is>
      </c>
      <c r="D25" s="216" t="inlineStr">
        <is>
          <t>Bottles</t>
        </is>
      </c>
      <c r="E25" s="216" t="inlineStr">
        <is>
          <t>$/bottle</t>
        </is>
      </c>
      <c r="F25" s="216" t="inlineStr">
        <is>
          <t>Subtotal</t>
        </is>
      </c>
      <c r="G25" s="216" t="inlineStr">
        <is>
          <t>Note</t>
        </is>
      </c>
    </row>
    <row r="26" ht="15.75" customHeight="1" s="171">
      <c r="A26" s="179" t="inlineStr">
        <is>
          <t>Vodka</t>
        </is>
      </c>
      <c r="B26" s="268">
        <f>SUMPRODUCT(('Dirty Soda - Built Drinks'!$M$3:$M$23=A26)*'Dirty Soda - Built Drinks'!$N$3:$N$23)+SUMPRODUCT(('Jug Recipes'!$P$4:$P$15=A26)*'Jug Recipes'!$R$4:$R$15)</f>
        <v/>
      </c>
      <c r="C26" s="268">
        <f>B26*(1+Assumptions!$B$5)</f>
        <v/>
      </c>
      <c r="D26" s="269">
        <f>CEILING(C26/Assumptions!$B$41,1)</f>
        <v/>
      </c>
      <c r="E26" s="251">
        <f>Assumptions!$B$42</f>
        <v/>
      </c>
      <c r="F26" s="251">
        <f>D26*E26</f>
        <v/>
      </c>
      <c r="G26" s="179" t="inlineStr">
        <is>
          <t>Consider peach/vanilla flavored vodka for Peaches &amp; Creamed / Orange Cream-sicle.</t>
        </is>
      </c>
    </row>
    <row r="27" ht="15.75" customHeight="1" s="171">
      <c r="A27" s="179" t="inlineStr">
        <is>
          <t>Coconut Rum</t>
        </is>
      </c>
      <c r="B27" s="268">
        <f>SUMPRODUCT(('Dirty Soda - Built Drinks'!$M$3:$M$23=A27)*'Dirty Soda - Built Drinks'!$N$3:$N$23)+SUMPRODUCT(('Jug Recipes'!$P$4:$P$15=A27)*'Jug Recipes'!$R$4:$R$15)</f>
        <v/>
      </c>
      <c r="C27" s="268">
        <f>B27*(1+Assumptions!$B$5)</f>
        <v/>
      </c>
      <c r="D27" s="269">
        <f>CEILING(C27/Assumptions!$B$41,1)</f>
        <v/>
      </c>
      <c r="E27" s="251">
        <f>Assumptions!$B$43</f>
        <v/>
      </c>
      <c r="F27" s="251">
        <f>D27*E27</f>
        <v/>
      </c>
      <c r="G27" s="179" t="n"/>
    </row>
    <row r="28" ht="15.75" customHeight="1" s="171">
      <c r="A28" s="179" t="inlineStr">
        <is>
          <t>Bourbon</t>
        </is>
      </c>
      <c r="B28" s="268">
        <f>SUMPRODUCT(('Dirty Soda - Built Drinks'!$M$3:$M$23=A28)*'Dirty Soda - Built Drinks'!$N$3:$N$23)+SUMPRODUCT(('Jug Recipes'!$P$4:$P$15=A28)*'Jug Recipes'!$R$4:$R$15)</f>
        <v/>
      </c>
      <c r="C28" s="268">
        <f>B28*(1+Assumptions!$B$5)</f>
        <v/>
      </c>
      <c r="D28" s="269">
        <f>CEILING(C28/Assumptions!$B$41,1)</f>
        <v/>
      </c>
      <c r="E28" s="251">
        <f>Assumptions!$B$44</f>
        <v/>
      </c>
      <c r="F28" s="251">
        <f>D28*E28</f>
        <v/>
      </c>
      <c r="G28" s="179" t="n"/>
    </row>
    <row r="29" ht="15.75" customHeight="1" s="171">
      <c r="A29" s="179" t="inlineStr">
        <is>
          <t>Blanco Tequila</t>
        </is>
      </c>
      <c r="B29" s="268">
        <f>SUMPRODUCT(('Dirty Soda - Built Drinks'!$M$3:$M$23=A29)*'Dirty Soda - Built Drinks'!$N$3:$N$23)+SUMPRODUCT(('Jug Recipes'!$P$4:$P$15=A29)*'Jug Recipes'!$R$4:$R$15)</f>
        <v/>
      </c>
      <c r="C29" s="268">
        <f>B29*(1+Assumptions!$B$5)</f>
        <v/>
      </c>
      <c r="D29" s="269">
        <f>CEILING(C29/Assumptions!$B$41,1)</f>
        <v/>
      </c>
      <c r="E29" s="251">
        <f>Assumptions!$B$45</f>
        <v/>
      </c>
      <c r="F29" s="251">
        <f>D29*E29</f>
        <v/>
      </c>
      <c r="G29" s="179" t="n"/>
    </row>
    <row r="30" ht="15.75" customHeight="1" s="171">
      <c r="A30" s="179" t="inlineStr">
        <is>
          <t>Spiced Rum</t>
        </is>
      </c>
      <c r="B30" s="268">
        <f>SUMPRODUCT(('Dirty Soda - Built Drinks'!$M$3:$M$23=A30)*'Dirty Soda - Built Drinks'!$N$3:$N$23)+SUMPRODUCT(('Jug Recipes'!$P$4:$P$15=A30)*'Jug Recipes'!$R$4:$R$15)</f>
        <v/>
      </c>
      <c r="C30" s="268">
        <f>B30*(1+Assumptions!$B$5)</f>
        <v/>
      </c>
      <c r="D30" s="269">
        <f>CEILING(C30/Assumptions!$B$41,1)</f>
        <v/>
      </c>
      <c r="E30" s="251">
        <f>Assumptions!$B$46</f>
        <v/>
      </c>
      <c r="F30" s="251">
        <f>D30*E30</f>
        <v/>
      </c>
      <c r="G30" s="179" t="n"/>
    </row>
    <row r="31" ht="15.75" customHeight="1" s="171">
      <c r="A31" s="179" t="inlineStr">
        <is>
          <t>Whiskey</t>
        </is>
      </c>
      <c r="B31" s="268">
        <f>SUMPRODUCT(('Dirty Soda - Built Drinks'!$M$3:$M$23=A31)*'Dirty Soda - Built Drinks'!$N$3:$N$23)+SUMPRODUCT(('Jug Recipes'!$P$4:$P$15=A31)*'Jug Recipes'!$R$4:$R$15)</f>
        <v/>
      </c>
      <c r="C31" s="268">
        <f>B31*(1+Assumptions!$B$5)</f>
        <v/>
      </c>
      <c r="D31" s="269">
        <f>CEILING(C31/Assumptions!$B$41,1)</f>
        <v/>
      </c>
      <c r="E31" s="251">
        <f>Assumptions!$B$47</f>
        <v/>
      </c>
      <c r="F31" s="251">
        <f>D31*E31</f>
        <v/>
      </c>
      <c r="G31" s="179" t="inlineStr">
        <is>
          <t>Consider 1 pickle whiskey (e.g. Ole Smoky) for A Ginger's Pickle as a novelty side option.</t>
        </is>
      </c>
    </row>
    <row r="32" ht="15.75" customHeight="1" s="171">
      <c r="A32" s="189" t="inlineStr">
        <is>
          <t>TOTAL</t>
        </is>
      </c>
      <c r="B32" s="270">
        <f>SUM(B26:B31)</f>
        <v/>
      </c>
      <c r="C32" s="270">
        <f>SUM(C26:C31)</f>
        <v/>
      </c>
      <c r="D32" s="270">
        <f>SUM(D26:D31)</f>
        <v/>
      </c>
      <c r="E32" s="189" t="n"/>
      <c r="F32" s="270">
        <f>SUM(F26:F31)</f>
        <v/>
      </c>
      <c r="G32" s="189" t="n"/>
    </row>
    <row r="33" ht="15.75" customHeight="1" s="171"/>
    <row r="34" ht="15.75" customHeight="1" s="171">
      <c r="A34" s="192" t="inlineStr">
        <is>
          <t>BUILT-DRINK &amp; FRESH-PRODUCE EXTRAS (itemized)</t>
        </is>
      </c>
    </row>
    <row r="35" ht="15.75" customHeight="1" s="171">
      <c r="A35" s="271" t="inlineStr">
        <is>
          <t>Item</t>
        </is>
      </c>
      <c r="B35" s="271" t="inlineStr">
        <is>
          <t>Total oz</t>
        </is>
      </c>
      <c r="C35" s="271" t="inlineStr">
        <is>
          <t>+buffer</t>
        </is>
      </c>
      <c r="D35" s="271" t="inlineStr">
        <is>
          <t>Units</t>
        </is>
      </c>
      <c r="E35" s="271" t="inlineStr">
        <is>
          <t>Unit/note</t>
        </is>
      </c>
    </row>
    <row r="36" ht="15.75" customHeight="1" s="171">
      <c r="A36" s="201" t="inlineStr">
        <is>
          <t>Ginger beer</t>
        </is>
      </c>
      <c r="B36" s="272">
        <f>(SUMPRODUCT(('Dirty Soda - Built Drinks'!$F$3:$F$23="Ginger beer")*'Dirty Soda - Built Drinks'!$G$3:$G$23*'Dirty Soda - Built Drinks'!$B$3:$B$23)+SUMPRODUCT(('Dirty Soda - Built Drinks'!$H$3:$H$23="Ginger beer")*'Dirty Soda - Built Drinks'!$I$3:$I$23*'Dirty Soda - Built Drinks'!$B$3:$B$23))</f>
        <v/>
      </c>
      <c r="C36" s="272">
        <f>B36*(1+Assumptions!$B$5)</f>
        <v/>
      </c>
      <c r="D36" s="273">
        <f>CEILING(C36/Assumptions!$B$96,1)</f>
        <v/>
      </c>
      <c r="E36" s="201" t="inlineStr">
        <is>
          <t>12oz cans</t>
        </is>
      </c>
    </row>
    <row r="37" ht="15.75" customHeight="1" s="171">
      <c r="A37" s="201" t="inlineStr">
        <is>
          <t>Lemon juice (fresh) — RETIRED, no build uses it</t>
        </is>
      </c>
      <c r="B37" s="272">
        <f>(SUMPRODUCT(('Dirty Soda - Built Drinks'!$F$3:$F$23="Lemon juice (fresh)")*'Dirty Soda - Built Drinks'!$G$3:$G$23*'Dirty Soda - Built Drinks'!$B$3:$B$23)+SUMPRODUCT(('Dirty Soda - Built Drinks'!$H$3:$H$23="Lemon juice (fresh)")*'Dirty Soda - Built Drinks'!$I$3:$I$23*'Dirty Soda - Built Drinks'!$B$3:$B$23)+SUMPRODUCT(('Jug Recipes'!$F$4:$F$15="Lemon juice (fresh)")*'Jug Recipes'!$G$4:$G$15)+SUMPRODUCT(('Jug Recipes'!$H$4:$H$15="Lemon juice (fresh)")*'Jug Recipes'!$I$4:$I$15)+SUMPRODUCT(('Jug Recipes'!$J$4:$J$15="Lemon juice (fresh)")*'Jug Recipes'!$K$4:$K$15)+SUMPRODUCT(('Jug Recipes'!$L$4:$L$15="Lemon juice (fresh)")*'Jug Recipes'!$M$4:$M$15)+SUMPRODUCT(('Jug Recipes'!$N$4:$N$15="Lemon juice (fresh)")*'Jug Recipes'!$O$4:$O$15))</f>
        <v/>
      </c>
      <c r="C37" s="272">
        <f>B37*(1+Assumptions!$B$5)</f>
        <v/>
      </c>
      <c r="D37" s="273">
        <f>CEILING(C37/Assumptions!$B$99,1)</f>
        <v/>
      </c>
      <c r="E37" s="201" t="inlineStr">
        <is>
          <t>whole lemons — READS ZERO NOW, AND THAT IS CORRECT. Both consumers left: Clear Cache and then the SCOBY Mule moved onto bottled yuzu (row 56) on 10 Aug 2026, and the two peach-tea jugs went to bottled lemon juice on 8 Aug (Jug Recipes row 32). THERE IS NO FRESH LEMON ON THE BAR AT ALL — no build, no garnish, no wedge. The row is kept live rather than deleted because it is derived: put 'Lemon juice (fresh)' back into a Syrup A/B slot on the recipe tab and the count and the shopping line come back on their own.</t>
        </is>
      </c>
    </row>
    <row r="38" ht="15.75" customHeight="1" s="171">
      <c r="A38" s="201" t="inlineStr">
        <is>
          <t>Simple syrup (sugar) — RETIRED, agave now (row 46)</t>
        </is>
      </c>
      <c r="B38" s="272">
        <f>'Dirty Soda - Built Drinks'!$B$11*Assumptions!$B$98</f>
        <v/>
      </c>
      <c r="C38" s="272">
        <f>B38*(1+Assumptions!$B$5)</f>
        <v/>
      </c>
      <c r="D38" s="273">
        <f>CEILING(C38/Assumptions!$B$56,1)</f>
        <v/>
      </c>
      <c r="E38" s="201" t="inlineStr">
        <is>
          <t>Computes 0 while Assumptions B98 is zeroed</t>
        </is>
      </c>
    </row>
    <row r="39" ht="15.75" customHeight="1" s="171">
      <c r="A39" s="201" t="inlineStr">
        <is>
          <t>Clamato — RETIRED 18 Aug 2026, replaced by Tres Agaves Bloody Mary Mix (row 58)</t>
        </is>
      </c>
      <c r="B39" s="272">
        <f>(SUMPRODUCT(('Dirty Soda - Built Drinks'!$F$3:$F$23="Clamato")*'Dirty Soda - Built Drinks'!$G$3:$G$23*'Dirty Soda - Built Drinks'!$B$3:$B$23)+SUMPRODUCT(('Dirty Soda - Built Drinks'!$H$3:$H$23="Clamato")*'Dirty Soda - Built Drinks'!$I$3:$I$23*'Dirty Soda - Built Drinks'!$B$3:$B$23))</f>
        <v/>
      </c>
      <c r="C39" s="272">
        <f>B39*(1+Assumptions!$B$5)</f>
        <v/>
      </c>
      <c r="D39" s="273">
        <f>CEILING(C39/Assumptions!$B$103,1)</f>
        <v/>
      </c>
      <c r="E39" s="201" t="inlineStr">
        <is>
          <t>64oz bottles</t>
        </is>
      </c>
    </row>
    <row r="40" ht="15.75" customHeight="1" s="171">
      <c r="A40" s="201" t="inlineStr">
        <is>
          <t>Lime juice (fresh)</t>
        </is>
      </c>
      <c r="B40" s="272">
        <f>'Dirty Soda - Built Drinks'!$B$4*'Dirty Soda - Built Drinks'!$I$4+'Dirty Soda - Built Drinks'!$B$3*Assumptions!$B$113+'Dirty Soda - Built Drinks'!$B$20*'Dirty Soda - Built Drinks'!$I$20</f>
        <v/>
      </c>
      <c r="C40" s="272">
        <f>B40*(1+Assumptions!$B$5)</f>
        <v/>
      </c>
      <c r="D40" s="273">
        <f>CEILING(C40/Assumptions!$B$111,1)</f>
        <v/>
      </c>
      <c r="E40" s="201" t="inlineStr">
        <is>
          <t>whole limes (~1oz juice each) — Michelada + Tang Dynasty</t>
        </is>
      </c>
    </row>
    <row r="41" ht="15.75" customHeight="1" s="171">
      <c r="A41" s="201" t="inlineStr">
        <is>
          <t>Hot sauce — RETIRED 18 Aug 2026, was Michelada-only</t>
        </is>
      </c>
      <c r="B41" s="272">
        <f>'Dirty Soda - Built Drinks'!$B$4*Assumptions!$B$105</f>
        <v/>
      </c>
      <c r="C41" s="272">
        <f>B41*(1+Assumptions!$B$5)</f>
        <v/>
      </c>
      <c r="D41" s="273">
        <f>CEILING(C41/Assumptions!$B$106,1)</f>
        <v/>
      </c>
      <c r="E41" s="201" t="inlineStr">
        <is>
          <t>12oz bottles</t>
        </is>
      </c>
    </row>
    <row r="42" ht="15.75" customHeight="1" s="171">
      <c r="A42" s="201" t="inlineStr">
        <is>
          <t>Tajin (rim salt)</t>
        </is>
      </c>
      <c r="B42" s="272">
        <f>('Dirty Soda - Built Drinks'!$B$4+'Dirty Soda - Built Drinks'!$B$8+'Dirty Soda - Built Drinks'!$B$16+'Dirty Soda - Built Drinks'!$B$17)*Assumptions!$B$108</f>
        <v/>
      </c>
      <c r="C42" s="272">
        <f>B42*(1+Assumptions!$B$5)</f>
        <v/>
      </c>
      <c r="D42" s="273">
        <f>CEILING(C42/Assumptions!$B$109,1)</f>
        <v/>
      </c>
      <c r="E42" s="201" t="inlineStr">
        <is>
          <t>5oz shakers — Michelada, A Ginger's Pickle and Catboy Piss rims</t>
        </is>
      </c>
    </row>
    <row r="43" ht="15.75" customHeight="1" s="171">
      <c r="A43" s="201" t="inlineStr">
        <is>
          <t>Orange juice (Catboy Café build) — RETIRED 21 Aug 2026, Sakura Kisses swapped to orange syrup</t>
        </is>
      </c>
      <c r="B43" s="272">
        <f>(SUMPRODUCT(('Dirty Soda - Built Drinks'!$F$3:$F$23="Orange juice")*'Dirty Soda - Built Drinks'!$G$3:$G$23*'Dirty Soda - Built Drinks'!$B$3:$B$23)+SUMPRODUCT(('Dirty Soda - Built Drinks'!$H$3:$H$23="Orange juice")*'Dirty Soda - Built Drinks'!$I$3:$I$23*'Dirty Soda - Built Drinks'!$B$3:$B$23))</f>
        <v/>
      </c>
      <c r="C43" s="272">
        <f>B43*(1+Assumptions!$B$5)</f>
        <v/>
      </c>
      <c r="D43" s="273">
        <f>CEILING(C43/Assumptions!$B$69,1)</f>
        <v/>
      </c>
      <c r="E43" s="201" t="inlineStr">
        <is>
          <t>64oz cartons — separate from the Thursday jug's OJ so the cost lands on the right line</t>
        </is>
      </c>
    </row>
    <row r="44" ht="15.75" customHeight="1" s="171">
      <c r="A44" s="201" t="inlineStr">
        <is>
          <t>Cucumber — garnish / cubes only (NOT in any build)</t>
        </is>
      </c>
      <c r="B44" s="272" t="n">
        <v>0</v>
      </c>
      <c r="C44" s="272" t="n">
        <v>0</v>
      </c>
      <c r="D44" s="273">
        <f>Assumptions!$B$215</f>
        <v/>
      </c>
      <c r="E44" s="201" t="inlineStr">
        <is>
          <t>whole cucumbers — MANUAL, from Assumptions B215. Cucumber left the recipe when Thirst Trap became Fuzz Test. This row used to multiply servings by the Syrup A column, which is now peach syrup, so it would have quietly kept buying cucumbers off the wrong measure.</t>
        </is>
      </c>
    </row>
    <row r="45" ht="15.75" customHeight="1" s="171">
      <c r="A45" s="201" t="inlineStr">
        <is>
          <t>Lime juice (fresh) — Fuzz Test + Catboy Snot + Catboy Piss + Shirley variants</t>
        </is>
      </c>
      <c r="B45" s="272">
        <f>'Dirty Soda - Built Drinks'!$B$12*'Dirty Soda - Built Drinks'!$I$12+'Dirty Soda - Built Drinks'!$B$15*'Dirty Soda - Built Drinks'!$I$15+'Dirty Soda - Built Drinks'!$B$16*'Dirty Soda - Built Drinks'!$I$16+'Dirty Soda - Built Drinks'!$B$17*'Dirty Soda - Built Drinks'!$I$17+'Dirty Soda - Built Drinks'!$B$18*Assumptions!$B$154+'Dirty Soda - Built Drinks'!$B$21*'Dirty Soda - Built Drinks'!$G$21+'Dirty Soda - Built Drinks'!$B$22*'Dirty Soda - Built Drinks'!$I$22</f>
        <v/>
      </c>
      <c r="C45" s="272">
        <f>B45*(1+Assumptions!$B$5)</f>
        <v/>
      </c>
      <c r="D45" s="273">
        <f>CEILING(C45/Assumptions!$B$111,1)</f>
        <v/>
      </c>
      <c r="E45" s="201" t="inlineStr">
        <is>
          <t>whole limes (~1oz juice each) — canned-base drinks, plus Rawhide (0.5 oz) and Localhost (1 oz). Fresh, not bottled: these two are lime-forward and ReaLime tastes like it. LOCALHOST'S LIME IS OPTIONAL as of 11 Aug 2026 — the margarita mixer already carries lime, so it is added to taste. It is still sized here at the full 1 oz deliberately: limes go into eight other drinks, so anything Localhost does not use gets squeezed elsewhere.</t>
        </is>
      </c>
    </row>
    <row r="46" ht="15.75" customHeight="1" s="171">
      <c r="A46" s="201" t="inlineStr">
        <is>
          <t>Apple cider vinegar (SCOBY Mule)</t>
        </is>
      </c>
      <c r="B46" s="272">
        <f>'Dirty Soda - Built Drinks'!$B$11*Assumptions!$B$128</f>
        <v/>
      </c>
      <c r="C46" s="272">
        <f>B46*(1+Assumptions!$B$5)</f>
        <v/>
      </c>
      <c r="D46" s="273">
        <f>CEILING(C46/Assumptions!$B$129,1)</f>
        <v/>
      </c>
      <c r="E46" s="201" t="inlineStr">
        <is>
          <t>32oz bottles</t>
        </is>
      </c>
    </row>
    <row r="47" ht="15.75" customHeight="1" s="171">
      <c r="A47" s="201" t="inlineStr">
        <is>
          <t>Agave syrup (SCOBY Mule + Localhost)</t>
        </is>
      </c>
      <c r="B47" s="272">
        <f>'Dirty Soda - Built Drinks'!$B$11*Assumptions!$B$131+'Dirty Soda - Built Drinks'!$B$22*Assumptions!$B$224</f>
        <v/>
      </c>
      <c r="C47" s="272">
        <f>B47*(1+Assumptions!$B$5)</f>
        <v/>
      </c>
      <c r="D47" s="273">
        <f>CEILING(C47/Assumptions!$B$132,1)</f>
        <v/>
      </c>
      <c r="E47" s="201" t="inlineStr">
        <is>
          <t>23.5oz bottles — SCOBY Mule at 0.25 oz (Assumptions B131) and Localhost at 0.5 oz (B224). LOCALHOST'S AGAVE IS OPTIONAL as of 11 Aug 2026 — the margarita mixer is already sweetened with agave, so it is added to taste. Still sized at the full rate here; the surplus is small and agave keeps indefinitely.</t>
        </is>
      </c>
    </row>
    <row r="48" ht="15.75" customHeight="1" s="171">
      <c r="A48" s="201" t="inlineStr">
        <is>
          <t>Aloe vera juice (Catboy Snot)</t>
        </is>
      </c>
      <c r="B48" s="272">
        <f>'Dirty Soda - Built Drinks'!$B$15*Assumptions!$B$147</f>
        <v/>
      </c>
      <c r="C48" s="272">
        <f>B48*(1+Assumptions!$B$5)</f>
        <v/>
      </c>
      <c r="D48" s="273">
        <f>CEILING(C48/Assumptions!$B$148,1)</f>
        <v/>
      </c>
      <c r="E48" s="201" t="inlineStr">
        <is>
          <t>1.5 L (50.7oz) bottles — DRINKING aloe with pulp, not supplement/whole-leaf</t>
        </is>
      </c>
    </row>
    <row r="49" ht="15.75" customHeight="1" s="171">
      <c r="A49" s="201" t="inlineStr">
        <is>
          <t>Basil seeds (Catboy Snot) — OPTIONAL</t>
        </is>
      </c>
      <c r="B49" s="272">
        <f>'Dirty Soda - Built Drinks'!$B$15*Assumptions!$B$150</f>
        <v/>
      </c>
      <c r="C49" s="272">
        <f>B49*(1+Assumptions!$B$5)</f>
        <v/>
      </c>
      <c r="D49" s="273">
        <f>CEILING(C49/Assumptions!$B$151,1)</f>
        <v/>
      </c>
      <c r="E49" s="201" t="inlineStr">
        <is>
          <t>100g (3.5oz) bags — OPTIONAL texture garnish; drink works without them</t>
        </is>
      </c>
    </row>
    <row r="50" ht="15.75" customHeight="1" s="171">
      <c r="A50" s="201" t="inlineStr">
        <is>
          <t>Pickle brine (A Ginger's Pickle + brine shots)</t>
        </is>
      </c>
      <c r="B50" s="272">
        <f>SUMPRODUCT(('Dirty Soda - Built Drinks'!$F$3:$F$23="Pickle Juice")*'Dirty Soda - Built Drinks'!$G$3:$G$23*'Dirty Soda - Built Drinks'!$B$3:$B$23)+SUMPRODUCT(('Dirty Soda - Built Drinks'!$H$3:$H$23="Pickle Juice")*'Dirty Soda - Built Drinks'!$I$3:$I$23*'Dirty Soda - Built Drinks'!$B$3:$B$23)+Assumptions!$B$209*Assumptions!$B$210</f>
        <v/>
      </c>
      <c r="C50" s="272">
        <f>B50*(1+Assumptions!$B$5)</f>
        <v/>
      </c>
      <c r="D50" s="273">
        <f>CEILING(C50/Assumptions!$B$211,1)</f>
        <v/>
      </c>
      <c r="E50" s="201" t="inlineStr">
        <is>
          <t>32oz jars — sized on DRAINABLE BRINE (Assumptions B211), not jar volume. Covers the pickle juice in every A Ginger's Pickle AND the brine shots on the menu board, which come out of the same jars. DERIVED FROM THE RECIPE as of 10 Aug 2026: the build oz is read straight off 'Dirty Soda - Built Drinks' row 8 (Syrup A = "Pickle Juice"), which went from 0.5 to 1 oz a serving that day. Assumptions B208 is superseded and read by nothing. Change the recipe and this follows.</t>
        </is>
      </c>
    </row>
    <row r="51" ht="15.75" customHeight="1" s="171">
      <c r="A51" s="201" t="inlineStr">
        <is>
          <t>Watermelon juice (Watermelon Sugar High)</t>
        </is>
      </c>
      <c r="B51" s="272">
        <f>SUMPRODUCT(('Dirty Soda - Built Drinks'!$F$3:$F$23="Watermelon juice")*'Dirty Soda - Built Drinks'!$G$3:$G$23*'Dirty Soda - Built Drinks'!$B$3:$B$23)+SUMPRODUCT(('Dirty Soda - Built Drinks'!$H$3:$H$23="Watermelon juice")*'Dirty Soda - Built Drinks'!$I$3:$I$23*'Dirty Soda - Built Drinks'!$B$3:$B$23)</f>
        <v/>
      </c>
      <c r="C51" s="272">
        <f>B51*(1+Assumptions!$B$5)</f>
        <v/>
      </c>
      <c r="D51" s="273">
        <f>CEILING(C51/Assumptions!$B$218,1)</f>
        <v/>
      </c>
      <c r="E51" s="201" t="inlineStr">
        <is>
          <t>1 L (33.8 oz) cartons — REAL JUICE, not syrup and not the whole melons. The melons on Purchase List row 24 are Monday’s Hard Reset fresca and nothing else. Carton size and price are Assumptions B218/B219.</t>
        </is>
      </c>
    </row>
    <row r="52" ht="15.75" customHeight="1" s="171"/>
    <row r="53" ht="15.75" customHeight="1" s="171"/>
    <row r="54" ht="15.75" customHeight="1" s="171">
      <c r="A54" s="201" t="inlineStr">
        <is>
          <t>Guava syrup (Torani, Guavascript)</t>
        </is>
      </c>
      <c r="B54" s="272">
        <f>SUMPRODUCT(('Dirty Soda - Built Drinks'!$F$3:$F$23="Guava syrup")*'Dirty Soda - Built Drinks'!$G$3:$G$23*'Dirty Soda - Built Drinks'!$B$3:$B$23)+SUMPRODUCT(('Dirty Soda - Built Drinks'!$H$3:$H$23="Guava syrup")*'Dirty Soda - Built Drinks'!$I$3:$I$23*'Dirty Soda - Built Drinks'!$B$3:$B$23)</f>
        <v/>
      </c>
      <c r="C54" s="272">
        <f>B54*(1+Assumptions!$B$5)</f>
        <v/>
      </c>
      <c r="D54" s="273">
        <f>CEILING(C54/Assumptions!$B$270,1)</f>
        <v/>
      </c>
      <c r="E54" s="201" t="inlineStr">
        <is>
          <t>25.4oz Torani bottle — SWITCHED FROM 16.9oz REàL PURéE 19 Aug 2026 (Assumptions B270, not the shared B91 squeeze-bottle size, which passion fruit still uses). Amazon only sells Torani Guava in a 3-pack, so the buy is 3 bottles regardless of the ~1-bottle math need.</t>
        </is>
      </c>
    </row>
    <row r="55" ht="15.75" customHeight="1" s="171">
      <c r="A55" s="201" t="inlineStr">
        <is>
          <t>Paloma mixer (Guavascript)</t>
        </is>
      </c>
      <c r="B55" s="272">
        <f>SUMPRODUCT(('Dirty Soda - Built Drinks'!$D$3:$D$23="Paloma mixer")*'Dirty Soda - Built Drinks'!$E$3:$E$23*'Dirty Soda - Built Drinks'!$B$3:$B$23)+SUMPRODUCT(('Dirty Soda - Built Drinks'!$F$3:$F$23="Paloma mixer")*'Dirty Soda - Built Drinks'!$G$3:$G$23*'Dirty Soda - Built Drinks'!$B$3:$B$23)+SUMPRODUCT(('Dirty Soda - Built Drinks'!$H$3:$H$23="Paloma mixer")*'Dirty Soda - Built Drinks'!$I$3:$I$23*'Dirty Soda - Built Drinks'!$B$3:$B$23)</f>
        <v/>
      </c>
      <c r="C55" s="272">
        <f>B55*(1+Assumptions!$B$5)</f>
        <v/>
      </c>
      <c r="D55" s="273">
        <f>CEILING(C55/Assumptions!$B$241,1)</f>
        <v/>
      </c>
      <c r="E55" s="201" t="inlineStr">
        <is>
          <t>33.8oz (1 L) bottles — Tres Agaves paloma mix. Grapefruit, lime and agave already in it, which is why the recipe adds none of the three. THE EXPENSIVE INGREDIENT ON THIS DRINK: see the note on Assumptions B242. READS THE BASE SODA COLUMN AS WELL, FIXED 10 Aug 2026: Guavascript puts the mixer in the Base soda slot (D23/E23), not Syrup A or B, so the original formula matched nothing and this line read 0 oz / 0 bottles — the drink was on the menu with none of its main ingredient on the shopping list.</t>
        </is>
      </c>
    </row>
    <row r="56" ht="15.75" customHeight="1" s="171">
      <c r="A56" s="201" t="inlineStr">
        <is>
          <t>Yuzu juice (Clear Cache)</t>
        </is>
      </c>
      <c r="B56" s="272">
        <f>SUMPRODUCT(('Dirty Soda - Built Drinks'!$F$3:$F$23="Yuzu juice")*'Dirty Soda - Built Drinks'!$G$3:$G$23*'Dirty Soda - Built Drinks'!$B$3:$B$23)+SUMPRODUCT(('Dirty Soda - Built Drinks'!$H$3:$H$23="Yuzu juice")*'Dirty Soda - Built Drinks'!$I$3:$I$23*'Dirty Soda - Built Drinks'!$B$3:$B$23)</f>
        <v/>
      </c>
      <c r="C56" s="272">
        <f>B56*(1+Assumptions!$B$5)</f>
        <v/>
      </c>
      <c r="D56" s="273">
        <f>CEILING(B56/Assumptions!$B$245,1)</f>
        <v/>
      </c>
      <c r="E56" s="201" t="inlineStr">
        <is>
          <t>13 oz bottles — THE ONLY CITRUS JUICE ON THE BAR THAT IS NOT LIME. Feeds both the SCOBY Mule (0.5 oz x 20) and Clear Cache (0.5 oz x 30), 25 oz between them; it replaced the fresh lemon in Clear Cache and then in the SCOBY Mule on 10 Aug 2026. Derived from the recipe — change the servings or the pour on 'Dirty Soda - Built Drinks' rows 11 and 14 and this follows. Sizing and price are Assumptions B245/B246. *** THIS IS THE ONE LINE IN THE MODEL THAT DOES NOT CARRY THE 15% BUFFER. *** It sizes off column B, not C, DELIBERATELY, decided 11 Aug 2026: 25 oz of requirement fits two 13 oz bottles with 1 oz to spare, and the buffer alone would have bought a third at $20. THE CONSEQUENCE IS REAL — there is no margin for a spilled or over-poured bottle across the whole week, so this one gets jiggered every time and does not go on the rail. Point D56 back at C56 to restore the buffer and the third bottle.</t>
        </is>
      </c>
    </row>
    <row r="57" ht="15.75" customHeight="1" s="171">
      <c r="A57" s="201" t="inlineStr">
        <is>
          <t>Margarita mixer (Localhost)</t>
        </is>
      </c>
      <c r="B57" s="272">
        <f>SUMPRODUCT(('Dirty Soda - Built Drinks'!$D$3:$D$23="Margarita mixer")*'Dirty Soda - Built Drinks'!$E$3:$E$23*'Dirty Soda - Built Drinks'!$B$3:$B$23)+SUMPRODUCT(('Dirty Soda - Built Drinks'!$F$3:$F$23="Margarita mixer")*'Dirty Soda - Built Drinks'!$G$3:$G$23*'Dirty Soda - Built Drinks'!$B$3:$B$23)+SUMPRODUCT(('Dirty Soda - Built Drinks'!$H$3:$H$23="Margarita mixer")*'Dirty Soda - Built Drinks'!$I$3:$I$23*'Dirty Soda - Built Drinks'!$B$3:$B$23)</f>
        <v/>
      </c>
      <c r="C57" s="272">
        <f>B57*(1+Assumptions!$B$5)</f>
        <v/>
      </c>
      <c r="D57" s="273">
        <f>CEILING(C57/Assumptions!$B$249,1)</f>
        <v/>
      </c>
      <c r="E57" s="201" t="inlineStr">
        <is>
          <t>33.8oz (1 L) bottles — Tres Agaves margarita mix, added 11 Aug 2026 at 2 oz into every Localhost. Sizing and price are Assumptions B249/B250, priced the same as the paloma mix. LIKE THE PALOMA LINE, THIS READS THE BASE SODA COLUMN TOO: Localhost carries the mixer in the D/E slot, not Syrup A or B. THE FRESH LIME AND THE AGAVE ARE OPTIONAL. The margarita mixer already contains both, so start with tea + mixer + tequila, taste, and add the lime and agave only if it needs them. Both stay fully costed and on the shopping list — they are bought either way and they serve other drinks — so leaving them out of a build costs nothing and wastes nothing. Both are still sized at full rate on rows 45 and 47, so the model buys for the fullest version of the build and any restraint at the bar is headroom, not a shortfall.</t>
        </is>
      </c>
    </row>
    <row r="58" ht="15.75" customHeight="1" s="171">
      <c r="A58" s="170" t="inlineStr">
        <is>
          <t>Tres Agaves Bloody Mary Mix (Michelada)</t>
        </is>
      </c>
      <c r="B58" s="170">
        <f>SUMPRODUCT(('Dirty Soda - Built Drinks'!$F$3:$F$23="Tres Agaves Bloody Mary Mix")*'Dirty Soda - Built Drinks'!$G$3:$G$23*'Dirty Soda - Built Drinks'!$B$3:$B$23)+SUMPRODUCT(('Dirty Soda - Built Drinks'!$H$3:$H$23="Tres Agaves Bloody Mary Mix")*'Dirty Soda - Built Drinks'!$I$3:$I$23*'Dirty Soda - Built Drinks'!$B$3:$B$23)</f>
        <v/>
      </c>
      <c r="C58" s="170">
        <f>B58*(1+Assumptions!$B$5)</f>
        <v/>
      </c>
      <c r="D58" s="170">
        <f>CEILING(C58/Assumptions!$B$268,1)</f>
        <v/>
      </c>
      <c r="E58" s="170" t="inlineStr">
        <is>
          <t>ADDED 18 Aug 2026. 750 ml (25.4 oz) bottles — Tres Agaves Organic Bloody Mary Mix, confirmed real and on Amazon, same brand/shelf as the Paloma and Margarita mixes already on this order. Tomato, lime, chili pepper, onion, garlic, organic spices — already seasoned, which is why the separate hot sauce line is retired.</t>
        </is>
      </c>
    </row>
    <row r="59" ht="15.75" customHeight="1" s="171">
      <c r="A59" s="170" t="inlineStr">
        <is>
          <t>Cranberry juice (Secret Party)</t>
        </is>
      </c>
      <c r="B59" s="170">
        <f>Assumptions!$B$297</f>
        <v/>
      </c>
      <c r="C59" s="170">
        <f>B59*(1+Assumptions!$B$5)</f>
        <v/>
      </c>
      <c r="D59" s="170">
        <f>CEILING(C59/Assumptions!$B$295,1)</f>
        <v/>
      </c>
      <c r="E59" s="170" t="inlineStr">
        <is>
          <t>64oz jugs — sized off the 21 Aug 2026 vodka-party split (Assumptions rows 279-284), not the regular board. UNCHECKED product/price — confirm at checkout.</t>
        </is>
      </c>
    </row>
    <row r="60" ht="15.75" customHeight="1" s="171">
      <c r="A60" s="170" t="inlineStr">
        <is>
          <t>Orange juice (Secret Party)</t>
        </is>
      </c>
      <c r="B60" s="170">
        <f>Assumptions!$B$298</f>
        <v/>
      </c>
      <c r="C60" s="170">
        <f>B60*(1+Assumptions!$B$5)</f>
        <v/>
      </c>
      <c r="D60" s="170">
        <f>CEILING(C60/Assumptions!$B$69,1)</f>
        <v/>
      </c>
      <c r="E60" s="170" t="inlineStr">
        <is>
          <t>64oz cartons — same OJ product/price as the retired Catboy Café line (Assumptions B69/B70), just a fresh draw for the vodka party, kept as its own line rather than reactivating the retired one.</t>
        </is>
      </c>
    </row>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V1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91" activeCellId="0" sqref="G91"/>
    </sheetView>
  </sheetViews>
  <sheetFormatPr baseColWidth="8" defaultColWidth="14.4296875" defaultRowHeight="15" zeroHeight="0" outlineLevelRow="0"/>
  <cols>
    <col width="4" customWidth="1" style="170" min="1" max="1"/>
    <col width="42" customWidth="1" style="170" min="2" max="2"/>
    <col width="13" customWidth="1" style="170" min="3" max="3"/>
    <col width="8" customWidth="1" style="170" min="4" max="4"/>
    <col width="11" customWidth="1" style="170" min="5" max="5"/>
    <col width="9" customWidth="1" style="170" min="6" max="6"/>
    <col width="30" customWidth="1" style="170" min="7" max="7"/>
    <col width="9" customWidth="1" style="170" min="8" max="26"/>
  </cols>
  <sheetData>
    <row r="1" ht="25.5" customHeight="1" s="171">
      <c r="A1" s="177" t="inlineStr">
        <is>
          <t>Purchase List — Burning Man 2026 Dirty Soda Bar</t>
        </is>
      </c>
    </row>
    <row r="2" ht="62.25" customHeight="1" s="171">
      <c r="A2" s="174" t="inlineStr">
        <is>
          <t>PACKAGED (POST-KEG) VERSION. Rows 13, 21, 22, 42, 74, 75, 77 are packaged beer, cider, kombucha and tea, sized on the 'Packaged Sizing' tab. The retired keg infrastructure lines (jockey box, CO2, deposits, lines) have been deleted outright. Everything else pulls live from the model.</t>
        </is>
      </c>
      <c r="B2" s="174" t="inlineStr">
        <is>
          <t>PACKAGED (POST-KEG) VERSION. Rows 13, 21, 22, 42, 74, 75, 77 are packaged beer/cider/kombucha/tea sized on the 'Packaged Sizing' tab to fill the same servings the kegs used to. The keg infrastructure lines (jockey box, CO2, deposits, lines) have been deleted. Everything else is untouched. Quantities still pull live from the model.</t>
        </is>
      </c>
      <c r="C2" s="274" t="n"/>
      <c r="H2" s="174" t="n"/>
      <c r="L2" s="170" t="inlineStr">
        <is>
          <t>PARKED (was pasted over the Category column and broke the rollups): Sunday, August 2, 2026 / Zoom Meeting / (Meeting ID: 848 0916 4817 Passcode: 533574)</t>
        </is>
      </c>
    </row>
    <row r="3" ht="15" customHeight="1" s="171">
      <c r="A3" s="275" t="inlineStr">
        <is>
          <t>Quantities pull live from the model. Fill Source/Location, then check off as you buy. CANNED ITEMS ARE LISTED AS TOTAL CANS, not packs — pack sizes vary by shop and by trip, so buy the can count and let the format be whatever is on the shelf. BASE SODA IS BROKEN OUT ONE LINE PER FLAVOUR (rows 5-11, plus Orange Fanta on row 89 — split out because it is not a Costco buy) as of 10 Aug 2026, with the oz requirement in columns I-M so the buy does not have to be all cans. COLUMN K IS THE NUMBER THAT MATTERS AT THE SHOP: the oz that still has to be sourced, after the 2 L bottles already bought for the jugs (row 91) are netted off. Columns L and M answer it in each format, and they are NOT the same oz per container, because the formats waste differently — a 12 oz can pouring 3-4 oz at a time goes flat before you finish it (70% usable, Assumptions B157) while a screw-cap bottle recaps and holds pressure (90%, Assumptions B238). MIXING IS FINE: any combination clears the line as long as cans x 8.4 oz + 2 L bottles x 60.8 oz reaches column K. Qty and cost stay on the all-cans answer, so the $ moves if you buy a dearer format.</t>
        </is>
      </c>
    </row>
    <row r="4" ht="15" customHeight="1" s="171">
      <c r="A4" s="216" t="inlineStr">
        <is>
          <t>✓</t>
        </is>
      </c>
      <c r="B4" s="216" t="inlineStr">
        <is>
          <t>Item</t>
        </is>
      </c>
      <c r="C4" s="276" t="inlineStr">
        <is>
          <t>Category</t>
        </is>
      </c>
      <c r="D4" s="216" t="inlineStr">
        <is>
          <t>Qty</t>
        </is>
      </c>
      <c r="E4" s="216" t="inlineStr">
        <is>
          <t>Unit</t>
        </is>
      </c>
      <c r="F4" s="216" t="inlineStr">
        <is>
          <t>Est. $</t>
        </is>
      </c>
      <c r="G4" s="216" t="inlineStr">
        <is>
          <t>Source / Location</t>
        </is>
      </c>
      <c r="H4" s="277" t="inlineStr">
        <is>
          <t>Ordered</t>
        </is>
      </c>
      <c r="I4" s="278" t="inlineStr">
        <is>
          <t>Status</t>
        </is>
      </c>
      <c r="J4" s="279" t="inlineStr">
        <is>
          <t>Ordered as</t>
        </is>
      </c>
      <c r="K4" s="279" t="inlineStr">
        <is>
          <t>Link</t>
        </is>
      </c>
      <c r="L4" s="279" t="inlineStr">
        <is>
          <t>Notes</t>
        </is>
      </c>
      <c r="M4" s="216" t="n"/>
      <c r="R4" s="170" t="inlineStr">
        <is>
          <t>Oz — recipe draw</t>
        </is>
      </c>
      <c r="S4" s="170" t="inlineStr">
        <is>
          <t>Oz — +15% buffer</t>
        </is>
      </c>
      <c r="T4" s="170" t="inlineStr">
        <is>
          <t>OZ TO SOURCE</t>
        </is>
      </c>
      <c r="U4" s="170" t="inlineStr">
        <is>
          <t>…as 12 oz cans</t>
        </is>
      </c>
      <c r="V4" s="170" t="inlineStr">
        <is>
          <t>…as 2 L bottles</t>
        </is>
      </c>
    </row>
    <row r="5" ht="23.25" customHeight="1" s="171">
      <c r="A5" s="280" t="inlineStr">
        <is>
          <t>☐</t>
        </is>
      </c>
      <c r="B5" s="183" t="inlineStr">
        <is>
          <t>Jigger (1oz/2oz)</t>
        </is>
      </c>
      <c r="C5" s="281" t="inlineStr">
        <is>
          <t>Hardware</t>
        </is>
      </c>
      <c r="D5" s="268" t="n">
        <v>1</v>
      </c>
      <c r="E5" s="280" t="inlineStr">
        <is>
          <t>each</t>
        </is>
      </c>
      <c r="F5" s="251" t="n"/>
      <c r="G5" s="282" t="inlineStr">
        <is>
          <t>TBD — Walmart/Target (SF or Reno, whichever trip is more convenient)</t>
        </is>
      </c>
      <c r="H5" s="283" t="n"/>
      <c r="I5" s="284">
        <f>IF(AND($H5="",$J5=""),"· not ordered",IF($H5="","⚠ REVIEW",IF(N($H5)&gt;=N($D5),"✅ MET","⚠ SHORT "&amp;TEXT(N($D5)-N($H5),"0")&amp;" "&amp;$E5)))</f>
        <v/>
      </c>
      <c r="J5" s="285" t="n"/>
      <c r="K5" s="170" t="n"/>
      <c r="L5" s="170" t="inlineStr">
        <is>
          <t>[[ NEEDS VENDOR ASSIGNMENT ]]
ADDED 19 Aug 2026 — equipment carried over from the Supplies checklist that wasn't yet on the shopping list. Pours liquor shots accurately — the only pour control on 27+ bottles of liquor besides the spouts on row 67 (renumbered). Supplies row 5.</t>
        </is>
      </c>
      <c r="R5" s="233" t="n"/>
      <c r="S5" s="233" t="n"/>
      <c r="T5" s="170" t="n"/>
      <c r="U5" s="170" t="n"/>
      <c r="V5" s="170" t="n"/>
    </row>
    <row r="6" ht="15" customHeight="1" s="171">
      <c r="A6" s="280" t="inlineStr">
        <is>
          <t>☐</t>
        </is>
      </c>
      <c r="B6" s="183" t="inlineStr">
        <is>
          <t>Muddler</t>
        </is>
      </c>
      <c r="C6" s="281" t="inlineStr">
        <is>
          <t>Hardware</t>
        </is>
      </c>
      <c r="D6" s="268" t="n">
        <v>1</v>
      </c>
      <c r="E6" s="280" t="inlineStr">
        <is>
          <t>each</t>
        </is>
      </c>
      <c r="F6" s="251" t="n"/>
      <c r="G6" s="282" t="inlineStr">
        <is>
          <t>TBD — Walmart/Target (SF or Reno, whichever trip is more convenient)</t>
        </is>
      </c>
      <c r="H6" s="283" t="n"/>
      <c r="I6" s="284">
        <f>IF(AND($H6="",$J6=""),"· not ordered",IF($H6="","⚠ REVIEW",IF(N($H6)&gt;=N($D6),"✅ MET","⚠ SHORT "&amp;TEXT(N($D6)-N($H6),"0")&amp;" "&amp;$E6)))</f>
        <v/>
      </c>
      <c r="J6" s="285" t="n"/>
      <c r="K6" s="281" t="n"/>
      <c r="L6" s="170" t="inlineStr">
        <is>
          <t>ADDED 19 Aug 2026 — equipment carried over from the Supplies checklist that wasn't yet on the shopping list. For the Hard Reset melon-mint muddle and any other built drink that wants one. Supplies row 7.</t>
        </is>
      </c>
      <c r="R6" s="233" t="n"/>
      <c r="S6" s="233" t="n"/>
      <c r="T6" s="170" t="n"/>
      <c r="U6" s="170" t="n"/>
      <c r="V6" s="170" t="n"/>
    </row>
    <row r="7" ht="15" customHeight="1" s="171">
      <c r="A7" s="280" t="inlineStr">
        <is>
          <t>☐</t>
        </is>
      </c>
      <c r="B7" s="183" t="inlineStr">
        <is>
          <t>Blender (12V or battery)</t>
        </is>
      </c>
      <c r="C7" s="281" t="inlineStr">
        <is>
          <t>Hardware</t>
        </is>
      </c>
      <c r="D7" s="268" t="n">
        <v>1</v>
      </c>
      <c r="E7" s="280" t="inlineStr">
        <is>
          <t>each</t>
        </is>
      </c>
      <c r="F7" s="251" t="n"/>
      <c r="G7" s="282" t="inlineStr">
        <is>
          <t>TBD — Walmart/Target (SF or Reno, whichever trip is more convenient)</t>
        </is>
      </c>
      <c r="H7" s="283" t="n"/>
      <c r="I7" s="284">
        <f>IF(AND($H7="",$J7=""),"· not ordered",IF($H7="","⚠ REVIEW",IF(N($H7)&gt;=N($D7),"✅ MET","⚠ SHORT "&amp;TEXT(N($D7)-N($H7),"0")&amp;" "&amp;$E7)))</f>
        <v/>
      </c>
      <c r="J7" s="233" t="n"/>
      <c r="L7" s="170" t="inlineStr">
        <is>
          <t>ADDED 19 Aug 2026 — equipment carried over from the Supplies checklist that wasn't yet on the shopping list. Monday's Hard Reset (Watermelon-Mint Aqua Fresca) is blended in batches — Jug Build Steps row 7 assumes a small 12V blender, 4-6 rounds. Supplies row 9.</t>
        </is>
      </c>
      <c r="R7" s="233" t="n"/>
      <c r="S7" s="233" t="n"/>
      <c r="T7" s="170" t="n"/>
      <c r="U7" s="170" t="n"/>
      <c r="V7" s="170" t="n"/>
    </row>
    <row r="8" ht="15" customHeight="1" s="171">
      <c r="A8" s="280" t="inlineStr">
        <is>
          <t>☐</t>
        </is>
      </c>
      <c r="B8" s="183" t="inlineStr">
        <is>
          <t>Cocktail shaker tin (Boston shaker)</t>
        </is>
      </c>
      <c r="C8" s="281" t="inlineStr">
        <is>
          <t>Hardware</t>
        </is>
      </c>
      <c r="D8" s="268" t="n">
        <v>1</v>
      </c>
      <c r="E8" s="280" t="inlineStr">
        <is>
          <t>each</t>
        </is>
      </c>
      <c r="F8" s="251" t="n"/>
      <c r="G8" s="282" t="inlineStr">
        <is>
          <t>TBD — Walmart/Target (SF or Reno, whichever trip is more convenient)</t>
        </is>
      </c>
      <c r="H8" s="283" t="n"/>
      <c r="I8" s="284">
        <f>IF(AND($H8="",$J8=""),"· not ordered",IF($H8="","⚠ REVIEW",IF(N($H8)&gt;=N($D8),"✅ MET","⚠ SHORT "&amp;TEXT(N($D8)-N($H8),"0")&amp;" "&amp;$E8)))</f>
        <v/>
      </c>
      <c r="J8" s="233" t="n"/>
      <c r="L8" s="281" t="inlineStr">
        <is>
          <t>ADDED 19 Aug 2026 — equipment carried over from the Supplies checklist that wasn't yet on the shopping list. General bar equipment, no single recipe depends on it. Supplies row 10.</t>
        </is>
      </c>
      <c r="R8" s="233" t="n"/>
      <c r="S8" s="233" t="n"/>
      <c r="T8" s="170" t="n"/>
      <c r="U8" s="170" t="n"/>
      <c r="V8" s="170" t="n"/>
    </row>
    <row r="9" ht="15" customHeight="1" s="171">
      <c r="A9" s="280" t="inlineStr">
        <is>
          <t>☐</t>
        </is>
      </c>
      <c r="B9" s="183" t="inlineStr">
        <is>
          <t>Measuring cups (1-4 cup set)</t>
        </is>
      </c>
      <c r="C9" s="281" t="inlineStr">
        <is>
          <t>Hardware</t>
        </is>
      </c>
      <c r="D9" s="268" t="n">
        <v>1</v>
      </c>
      <c r="E9" s="280" t="inlineStr">
        <is>
          <t>set</t>
        </is>
      </c>
      <c r="F9" s="251" t="n"/>
      <c r="G9" s="282" t="inlineStr">
        <is>
          <t>TBD — Walmart/Target (SF or Reno, whichever trip is more convenient)</t>
        </is>
      </c>
      <c r="H9" s="283" t="n"/>
      <c r="I9" s="284">
        <f>IF(AND($H9="",$J9=""),"· not ordered",IF($H9="","⚠ REVIEW",IF(N($H9)&gt;=N($D9),"✅ MET","⚠ SHORT "&amp;TEXT(N($D9)-N($H9),"0")&amp;" "&amp;$E9)))</f>
        <v/>
      </c>
      <c r="J9" s="233" t="n"/>
      <c r="L9" s="281" t="inlineStr">
        <is>
          <t>ADDED 19 Aug 2026 — equipment carried over from the Supplies checklist that wasn't yet on the shopping list. For batching jugs and syrups to spec rather than eyeballing. Supplies row 11.</t>
        </is>
      </c>
      <c r="R9" s="233" t="n"/>
      <c r="S9" s="233" t="n"/>
      <c r="T9" s="170" t="n"/>
      <c r="U9" s="170" t="n"/>
      <c r="V9" s="170" t="n"/>
    </row>
    <row r="10" ht="15" customHeight="1" s="171">
      <c r="A10" s="280" t="inlineStr">
        <is>
          <t>☐</t>
        </is>
      </c>
      <c r="B10" s="183" t="inlineStr">
        <is>
          <t>Cutting board</t>
        </is>
      </c>
      <c r="C10" s="281" t="inlineStr">
        <is>
          <t>Hardware</t>
        </is>
      </c>
      <c r="D10" s="268" t="n">
        <v>1</v>
      </c>
      <c r="E10" s="280" t="inlineStr">
        <is>
          <t>each</t>
        </is>
      </c>
      <c r="F10" s="251" t="n"/>
      <c r="G10" s="282" t="inlineStr">
        <is>
          <t>TBD — Walmart/Target (SF or Reno, whichever trip is more convenient)</t>
        </is>
      </c>
      <c r="H10" s="283" t="n"/>
      <c r="I10" s="284">
        <f>IF(AND($H10="",$J10=""),"· not ordered",IF($H10="","⚠ REVIEW",IF(N($H10)&gt;=N($D10),"✅ MET","⚠ SHORT "&amp;TEXT(N($D10)-N($H10),"0")&amp;" "&amp;$E10)))</f>
        <v/>
      </c>
      <c r="J10" s="233" t="n"/>
      <c r="L10" s="170" t="inlineStr">
        <is>
          <t>ADDED 19 Aug 2026 — equipment carried over from the Supplies checklist that wasn't yet on the shopping list. Garnish prep — citrus wheels, apple/pear, cucumber, candied ginger, mint sprigs. Supplies row 13.</t>
        </is>
      </c>
      <c r="R10" s="233" t="n"/>
      <c r="S10" s="233" t="n"/>
      <c r="T10" s="170" t="n"/>
      <c r="U10" s="170" t="n"/>
      <c r="V10" s="170" t="n"/>
    </row>
    <row r="11" ht="15" customHeight="1" s="171">
      <c r="A11" s="280" t="inlineStr">
        <is>
          <t>☐</t>
        </is>
      </c>
      <c r="B11" s="183" t="inlineStr">
        <is>
          <t>Fine mesh strainer</t>
        </is>
      </c>
      <c r="C11" s="281" t="inlineStr">
        <is>
          <t>Hardware</t>
        </is>
      </c>
      <c r="D11" s="268" t="n">
        <v>1</v>
      </c>
      <c r="E11" s="280" t="inlineStr">
        <is>
          <t>each</t>
        </is>
      </c>
      <c r="F11" s="251" t="n"/>
      <c r="G11" s="282" t="inlineStr">
        <is>
          <t>TBD — Walmart/Target (SF or Reno, whichever trip is more convenient)</t>
        </is>
      </c>
      <c r="H11" s="283" t="n"/>
      <c r="I11" s="286">
        <f>IF(AND($H11="",$J11=""),"· not ordered",IF($H11="","⚠ REVIEW",IF(N($H11)&gt;=N($D11),"✅ MET","⚠ SHORT "&amp;TEXT(N($D11)-N($H11),"0")&amp;" "&amp;$E11)))</f>
        <v/>
      </c>
      <c r="J11" s="170" t="n"/>
      <c r="L11" s="281" t="inlineStr">
        <is>
          <t>ADDED 19 Aug 2026 — equipment carried over from the Supplies checklist that wasn't yet on the shopping list. Straining the Hard Reset watermelon blend (Jug Build Steps row 7: 'strain rough through the fine mesh into a gallon container'). Distinct from the 5 gal strainer bags on row 92, which are for steeping, not straining pulp. Supplies row 15.</t>
        </is>
      </c>
      <c r="R11" s="170" t="n"/>
      <c r="S11" s="170" t="n"/>
      <c r="T11" s="170" t="n"/>
      <c r="U11" s="170" t="n"/>
      <c r="V11" s="170" t="n"/>
    </row>
    <row r="12" ht="15" customHeight="1" s="171">
      <c r="A12" s="280" t="inlineStr">
        <is>
          <t>☐</t>
        </is>
      </c>
      <c r="B12" s="183" t="inlineStr">
        <is>
          <t>Squeeze bottles (set of 6)</t>
        </is>
      </c>
      <c r="C12" s="281" t="inlineStr">
        <is>
          <t>Hardware</t>
        </is>
      </c>
      <c r="D12" s="268" t="n">
        <v>1</v>
      </c>
      <c r="E12" s="280" t="inlineStr">
        <is>
          <t>set</t>
        </is>
      </c>
      <c r="F12" s="251" t="n"/>
      <c r="G12" s="282" t="inlineStr">
        <is>
          <t>TBD — Walmart/Target (SF or Reno, whichever trip is more convenient)</t>
        </is>
      </c>
      <c r="H12" s="286" t="n"/>
      <c r="I12" s="286">
        <f>IF(AND($H12="",$J12=""),"· not ordered",IF($H12="","⚠ REVIEW",IF(N($H12)&gt;=N($D12),"✅ MET","⚠ SHORT "&amp;TEXT(N($D12)-N($H12),"0")&amp;" "&amp;$E12)))</f>
        <v/>
      </c>
      <c r="J12" s="170" t="n"/>
      <c r="K12" s="170" t="n"/>
      <c r="L12" s="170" t="inlineStr">
        <is>
          <t>ADDED 19 Aug 2026 — equipment carried over from the Supplies checklist that wasn't yet on the shopping list. General bar equipment for syrups/juices at the rail. Supplies row 17.</t>
        </is>
      </c>
    </row>
    <row r="13" ht="15.75" customHeight="1" s="171">
      <c r="A13" s="280" t="inlineStr">
        <is>
          <t>☐</t>
        </is>
      </c>
      <c r="B13" s="183" t="inlineStr">
        <is>
          <t>Garnish caddy (multi-compartment)</t>
        </is>
      </c>
      <c r="C13" s="280" t="inlineStr">
        <is>
          <t>Hardware</t>
        </is>
      </c>
      <c r="D13" s="268" t="n">
        <v>1</v>
      </c>
      <c r="E13" s="280" t="inlineStr">
        <is>
          <t>each</t>
        </is>
      </c>
      <c r="F13" s="251" t="n"/>
      <c r="G13" s="282" t="inlineStr">
        <is>
          <t>TBD — Walmart/Target (SF or Reno, whichever trip is more convenient)</t>
        </is>
      </c>
      <c r="H13" s="283" t="n"/>
      <c r="I13" s="286">
        <f>IF(AND($H13="",$J13=""),"· not ordered",IF($H13="","⚠ REVIEW",IF(N($H13)&gt;=N($D13),"✅ MET","⚠ SHORT "&amp;TEXT(N($D13)-N($H13),"0")&amp;" "&amp;$E13)))</f>
        <v/>
      </c>
      <c r="J13" s="170" t="n"/>
      <c r="K13" s="170" t="n"/>
      <c r="L13" s="281" t="inlineStr">
        <is>
          <t>ADDED 19 Aug 2026 — equipment carried over from the Supplies checklist that wasn't yet on the shopping list. Bar-side quick-access caddy for citrus wheels, cherries, mint at point of service — distinct from the bulk 68oz prep/storage containers on row 98, which hold overnight stock, not rail-side garnish. Supplies row 21.</t>
        </is>
      </c>
    </row>
    <row r="14" ht="15.75" customHeight="1" s="171">
      <c r="A14" s="280" t="inlineStr">
        <is>
          <t>☐</t>
        </is>
      </c>
      <c r="B14" s="183" t="inlineStr">
        <is>
          <t>Bottle opener</t>
        </is>
      </c>
      <c r="C14" s="280" t="inlineStr">
        <is>
          <t>Hardware</t>
        </is>
      </c>
      <c r="D14" s="268" t="n">
        <v>1</v>
      </c>
      <c r="E14" s="280" t="inlineStr">
        <is>
          <t>each</t>
        </is>
      </c>
      <c r="F14" s="251" t="n"/>
      <c r="G14" s="282" t="inlineStr">
        <is>
          <t>TBD — Walmart/Target (SF or Reno, whichever trip is more convenient)</t>
        </is>
      </c>
      <c r="H14" s="287" t="n"/>
      <c r="I14" s="286">
        <f>IF(AND($H14="",$J14=""),"· not ordered",IF($H14="","⚠ REVIEW",IF(N($H14)&gt;=N($D14),"✅ MET","⚠ SHORT "&amp;TEXT(N($D14)-N($H14),"0")&amp;" "&amp;$E14)))</f>
        <v/>
      </c>
      <c r="J14" s="170" t="n"/>
      <c r="L14" s="281" t="inlineStr">
        <is>
          <t>ADDED 19 Aug 2026 — equipment carried over from the Supplies checklist that wasn't yet on the shopping list. For the packaged beer/cider lines (Mexican lager, hard cider, blonde ale). Supplies row 22.</t>
        </is>
      </c>
    </row>
    <row r="15" ht="15.75" customHeight="1" s="171">
      <c r="A15" s="280" t="inlineStr">
        <is>
          <t>☐</t>
        </is>
      </c>
      <c r="B15" s="183" t="inlineStr">
        <is>
          <t>Laminating pouches / cardstock (dispenser signs)</t>
        </is>
      </c>
      <c r="C15" s="280" t="inlineStr">
        <is>
          <t>Hardware</t>
        </is>
      </c>
      <c r="D15" s="268" t="n">
        <v>1</v>
      </c>
      <c r="E15" s="280" t="inlineStr">
        <is>
          <t>set</t>
        </is>
      </c>
      <c r="F15" s="251" t="n"/>
      <c r="G15" s="282" t="inlineStr">
        <is>
          <t>TBD — Walmart/Target (SF or Reno, whichever trip is more convenient)</t>
        </is>
      </c>
      <c r="H15" s="287" t="n"/>
      <c r="I15" s="286">
        <f>IF(AND($H15="",$J15=""),"· not ordered",IF($H15="","⚠ REVIEW",IF(N($H15)&gt;=N($D15),"✅ MET","⚠ SHORT "&amp;TEXT(N($D15)-N($H15),"0")&amp;" "&amp;$E15)))</f>
        <v/>
      </c>
      <c r="J15" s="170" t="n"/>
      <c r="L15" s="281" t="inlineStr">
        <is>
          <t>ADDED 19 Aug 2026 — equipment carried over from the Supplies checklist that wasn't yet on the shopping list. Materials for the 3x5 dispenser signs (print + laminate before playa) — Supplies row 26, Camp Drinks rows 30-35 have the sign copy ready to print.</t>
        </is>
      </c>
    </row>
    <row r="16" ht="15.75" customHeight="1" s="171">
      <c r="A16" s="280" t="inlineStr">
        <is>
          <t>☐</t>
        </is>
      </c>
      <c r="B16" s="183" t="inlineStr">
        <is>
          <t>Tres Agaves Bloody Mary Mix (750 ml) — Michelada</t>
        </is>
      </c>
      <c r="C16" s="280" t="inlineStr">
        <is>
          <t>Built drink</t>
        </is>
      </c>
      <c r="D16" s="268">
        <f>'Other Consumables'!D58</f>
        <v/>
      </c>
      <c r="E16" s="280" t="inlineStr">
        <is>
          <t>bottles</t>
        </is>
      </c>
      <c r="F16" s="251">
        <f>D16*Assumptions!$B$269</f>
        <v/>
      </c>
      <c r="G16" s="282" t="inlineStr">
        <is>
          <t>Total Wine (SF)</t>
        </is>
      </c>
      <c r="H16" s="286" t="n"/>
      <c r="I16" s="286">
        <f>IF(AND($H16="",$J16=""),"· not ordered",IF($H16="","⚠ REVIEW",IF(N($H16)&gt;=N($D16),"✅ MET","⚠ SHORT "&amp;TEXT(N($D16)-N($H16),"0")&amp;" "&amp;$E16)))</f>
        <v/>
      </c>
      <c r="J16" s="170" t="n"/>
      <c r="L16" s="170" t="inlineStr">
        <is>
          <t>[[ SF — THIS WEEKEND ]]
Michelada — 2.5 oz Bloody Mary Mix + fresh lime, hot sauce retired (see Dirty Soda - Built Drinks row 4). PLANNED FOR THE SF TOTAL WINE RUN 19 Aug 2026 — Tres Agaves brand, same shelf as the Paloma/Margarita mixes below, grab all three together.</t>
        </is>
      </c>
    </row>
    <row r="17" ht="15.75" customHeight="1" s="171">
      <c r="A17" s="280" t="inlineStr">
        <is>
          <t>☐</t>
        </is>
      </c>
      <c r="B17" s="183" t="inlineStr">
        <is>
          <t>Passion fruit purée — Reàl infused syrup (16.9oz squeeze)</t>
        </is>
      </c>
      <c r="C17" s="280" t="inlineStr">
        <is>
          <t>Syrup</t>
        </is>
      </c>
      <c r="D17" s="268">
        <f>'Other Consumables'!D17</f>
        <v/>
      </c>
      <c r="E17" s="280" t="inlineStr">
        <is>
          <t>bottles</t>
        </is>
      </c>
      <c r="F17" s="251">
        <f>D17*Assumptions!$B$92</f>
        <v/>
      </c>
      <c r="G17" s="282" t="inlineStr">
        <is>
          <t>Total Wine (SF)</t>
        </is>
      </c>
      <c r="H17" s="286" t="n">
        <v>2</v>
      </c>
      <c r="I17" s="286">
        <f>IF(AND($H17="",$J17=""),"· not ordered",IF($H17="","⚠ REVIEW",IF(N($H17)&gt;=N($D17),"✅ MET","⚠ SHORT "&amp;TEXT(N($D17)-N($H17),"0")&amp;" "&amp;$E17)))</f>
        <v/>
      </c>
      <c r="J17" s="170" t="inlineStr">
        <is>
          <t>Bought at Total Wine, 19 Aug 2026 — 2 bottles. The +2 Amazon top-up did not go through; retrying in person at Total Wine this weekend instead.</t>
        </is>
      </c>
      <c r="L17" s="170" t="inlineStr">
        <is>
          <t>Feeds Tang Dynasty, the Thursday Gradient Descent jug, the Catboy Café green tea, and Catboy Piss (which just got taste-tested and came out great). 2 bottles secured against a buffered need of 5 (78.2 oz / 16.9 oz per bottle) — SHORT 3. Grab the rest at Total Wine this weekend rather than Amazon.</t>
        </is>
      </c>
    </row>
    <row r="18" ht="15.75" customHeight="1" s="171">
      <c r="A18" s="280" t="inlineStr">
        <is>
          <t>☐</t>
        </is>
      </c>
      <c r="B18" s="183" t="inlineStr">
        <is>
          <t>Torani Guava Syrup (25.4oz) — Guavascript</t>
        </is>
      </c>
      <c r="C18" s="280" t="inlineStr">
        <is>
          <t>Syrup</t>
        </is>
      </c>
      <c r="D18" s="268">
        <f>'Other Consumables'!D54</f>
        <v/>
      </c>
      <c r="E18" s="280" t="inlineStr">
        <is>
          <t>bottles</t>
        </is>
      </c>
      <c r="F18" s="251">
        <f>D18*Assumptions!$B$232</f>
        <v/>
      </c>
      <c r="G18" s="282" t="inlineStr">
        <is>
          <t>Total Wine (SF)</t>
        </is>
      </c>
      <c r="H18" s="286" t="n"/>
      <c r="I18" s="286">
        <f>IF(AND($H18="",$J18=""),"· not ordered",IF($H18="","⚠ REVIEW",IF(N($H18)&gt;=N($D18),"✅ MET","⚠ SHORT "&amp;TEXT(N($D18)-N($H18),"0")&amp;" "&amp;$E18)))</f>
        <v/>
      </c>
      <c r="J18" s="170" t="n"/>
      <c r="L18" s="170" t="inlineStr">
        <is>
          <t>SWITCHED FROM REàL GUAVA PURéE 19 Aug 2026 to Torani Guava Syrup (same 0.5oz dose, see Dirty Soda - Built Drinks row 23) — not at Total Wine, and Amazon only sold the purée in a 3-pack too. MOVED BACK TO TOTAL WINE 19 Aug 2026 — the Amazon order for the Torani syrup didn't go through; retrying in person this weekend. FLAG: Total Wine did NOT have guava purée on the first visit, and Torani flavor selection in physical stores is hit-or-miss — if guava (in either format) isn't there this time either, Amazon remains the fallback. Math need is ~1 bottle (14.4 oz buffered / 25.4 oz Torani format, or /16.9oz if back to purée).</t>
        </is>
      </c>
    </row>
    <row r="19" ht="15.75" customHeight="1" s="171">
      <c r="A19" s="280" t="inlineStr">
        <is>
          <t>☐</t>
        </is>
      </c>
      <c r="B19" s="183" t="inlineStr">
        <is>
          <t>Liquor pour spouts (3-packs)</t>
        </is>
      </c>
      <c r="C19" s="280" t="inlineStr">
        <is>
          <t>Hardware</t>
        </is>
      </c>
      <c r="D19" s="268" t="n">
        <v>2</v>
      </c>
      <c r="E19" s="280" t="inlineStr">
        <is>
          <t>coke</t>
        </is>
      </c>
      <c r="F19" s="251">
        <f>D19*8.99</f>
        <v/>
      </c>
      <c r="G19" s="282" t="inlineStr">
        <is>
          <t>Total Wine (SF)</t>
        </is>
      </c>
      <c r="H19" s="287" t="n">
        <v>2</v>
      </c>
      <c r="I19" s="286">
        <f>IF(AND($H19="",$J19=""),"· not ordered",IF($H19="","⚠ REVIEW",IF(N($H19)&gt;=N($D19),"✅ MET","⚠ SHORT "&amp;TEXT(N($D19)-N($H19),"0")&amp;" "&amp;$E19)))</f>
        <v/>
      </c>
      <c r="J19" s="170" t="inlineStr">
        <is>
          <t>BALTRE-style 6-pack of pourers bought at Total Wine, 19 Aug 2026 — matches the 2x3-pack (6 spout) need exactly.</t>
        </is>
      </c>
      <c r="L19" s="281" t="inlineStr">
        <is>
          <t>BevMo, $8.99 per 3-pack originally. TWO packs = 6 spouts, one for each spirit on the bar. PLANNED FOR THE SF GROCERY RUN 19 Aug 2026 (moved off the Reno BevMo plan since you're doing SF this weekend instead) — read as "bottle dispensers" in your message; flag if you actually meant something else and I've mis-mapped this.</t>
        </is>
      </c>
    </row>
    <row r="20" ht="15.75" customHeight="1" s="171">
      <c r="A20" s="204" t="inlineStr">
        <is>
          <t>☐</t>
        </is>
      </c>
      <c r="B20" s="288" t="inlineStr">
        <is>
          <t>Paloma mixer (33.8oz bottles) — Guavascript</t>
        </is>
      </c>
      <c r="C20" s="204" t="inlineStr">
        <is>
          <t>Syrup</t>
        </is>
      </c>
      <c r="D20" s="289">
        <f>'Other Consumables'!D55</f>
        <v/>
      </c>
      <c r="E20" s="204" t="inlineStr">
        <is>
          <t>bottles</t>
        </is>
      </c>
      <c r="F20" s="241">
        <f>D20*Assumptions!$B$242</f>
        <v/>
      </c>
      <c r="G20" s="290" t="inlineStr">
        <is>
          <t>Total Wine (SF)</t>
        </is>
      </c>
      <c r="H20" s="291" t="n">
        <v>2</v>
      </c>
      <c r="I20" s="286">
        <f>IF(AND($H20="",$J20=""),"· not ordered",IF($H20="","⚠ REVIEW",IF(N($H20)&gt;=N($D20),"✅ MET","⚠ SHORT "&amp;TEXT(N($D20)-N($H20),"0")&amp;" "&amp;$E20)))</f>
        <v/>
      </c>
      <c r="J20" s="170" t="inlineStr">
        <is>
          <t>Tres Agaves Organic Grapefruit Paloma Mix bought at Total Wine, 19 Aug 2026 — 2 bottles.</t>
        </is>
      </c>
      <c r="L20" s="170" t="inlineStr">
        <is>
          <t>Tres Agaves Organic Grapefruit Paloma Mix, 33.8oz — for Guavascript. PLANNED FOR THE SF TOTAL WINE RUN 19 Aug 2026, same shelf as the Margarita mix and the new Bloody Mary mix.</t>
        </is>
      </c>
    </row>
    <row r="21" ht="15.75" customHeight="1" s="171">
      <c r="A21" s="280" t="inlineStr">
        <is>
          <t>☐</t>
        </is>
      </c>
      <c r="B21" s="248" t="inlineStr">
        <is>
          <t>Margarita mixer (33.8oz bottles) — Localhost</t>
        </is>
      </c>
      <c r="C21" s="248" t="inlineStr">
        <is>
          <t>Syrup</t>
        </is>
      </c>
      <c r="D21" s="292">
        <f>'Other Consumables'!D57</f>
        <v/>
      </c>
      <c r="E21" s="248" t="inlineStr">
        <is>
          <t>bottles</t>
        </is>
      </c>
      <c r="F21" s="254">
        <f>D21*Assumptions!$B$250</f>
        <v/>
      </c>
      <c r="G21" s="293" t="inlineStr">
        <is>
          <t>Total Wine (SF)</t>
        </is>
      </c>
      <c r="H21" s="283" t="n">
        <v>2</v>
      </c>
      <c r="I21" s="286">
        <f>IF(AND($H21="",$J21=""),"· not ordered",IF($H21="","⚠ REVIEW",IF(N($H21)&gt;=N($D21),"✅ MET","⚠ SHORT "&amp;TEXT(N($D21)-N($H21),"0")&amp;" "&amp;$E21)))</f>
        <v/>
      </c>
      <c r="J21" s="170" t="inlineStr">
        <is>
          <t>Tres Agaves Organic Lime Margarita Mix bought at Total Wine, 19 Aug 2026 — 2 bottles.</t>
        </is>
      </c>
      <c r="L21" s="281" t="inlineStr">
        <is>
          <t>Tres Agaves Organic Lime Margarita Mix, 33.8oz — for Localhost. PLANNED FOR THE SF TOTAL WINE RUN 19 Aug 2026, same shelf as the Paloma mix and the new Bloody Mary mix.</t>
        </is>
      </c>
    </row>
    <row r="22" ht="15.75" customHeight="1" s="171">
      <c r="A22" s="280" t="inlineStr">
        <is>
          <t>☐</t>
        </is>
      </c>
      <c r="B22" s="248" t="inlineStr">
        <is>
          <t>Aloe vera juice (1.5 L, with pulp) — Catboy Snot</t>
        </is>
      </c>
      <c r="C22" s="248" t="inlineStr">
        <is>
          <t>Built drink</t>
        </is>
      </c>
      <c r="D22" s="292">
        <f>'Other Consumables'!D48</f>
        <v/>
      </c>
      <c r="E22" s="248" t="inlineStr">
        <is>
          <t>bottles</t>
        </is>
      </c>
      <c r="F22" s="254">
        <f>D22*Assumptions!$B$149</f>
        <v/>
      </c>
      <c r="G22" s="293" t="inlineStr">
        <is>
          <t>Rainbow Grocery</t>
        </is>
      </c>
      <c r="H22" s="283" t="n"/>
      <c r="I22" s="286">
        <f>IF(AND($H22="",$J22=""),"· not ordered",IF($H22="","⚠ REVIEW",IF(N($H22)&gt;=N($D22),"✅ MET","⚠ SHORT "&amp;TEXT(N($D22)-N($H22),"0")&amp;" "&amp;$E22)))</f>
        <v/>
      </c>
      <c r="J22" s="170" t="n"/>
      <c r="L22" s="281" t="inlineStr">
        <is>
          <t>Sat Catboy Snot — 1.5oz/serving (Assumptions B147). DRINKING aloe, inner-fillet/decolorized (OKF Aloe Vera King, Grace, Alo) — NOT whole-leaf or supplement aloe. Separate line from the keg-garnish aloe on row 71.</t>
        </is>
      </c>
    </row>
    <row r="23" ht="15.75" customHeight="1" s="171">
      <c r="A23" s="204" t="inlineStr">
        <is>
          <t>☐</t>
        </is>
      </c>
      <c r="B23" s="288" t="inlineStr">
        <is>
          <t>Sprite — base soda</t>
        </is>
      </c>
      <c r="C23" s="204" t="inlineStr">
        <is>
          <t>Soda</t>
        </is>
      </c>
      <c r="D23" s="289">
        <f>U23</f>
        <v/>
      </c>
      <c r="E23" s="204" t="inlineStr">
        <is>
          <t>cans</t>
        </is>
      </c>
      <c r="F23" s="241">
        <f>'Base Soda — Cans'!E4*Assumptions!$B$16</f>
        <v/>
      </c>
      <c r="G23" s="290" t="inlineStr">
        <is>
          <t>Costco</t>
        </is>
      </c>
      <c r="H23" s="291" t="n"/>
      <c r="I23" s="286">
        <f>IF(AND($H23="",$J23=""),"· not ordered",IF($H23="","⚠ REVIEW",IF(N($H23)&gt;=N($D23),"✅ MET","⚠ SHORT "&amp;TEXT(N($D23)-N($H23),"0")&amp;" "&amp;$E23)))</f>
        <v/>
      </c>
      <c r="J23" s="170" t="inlineStr">
        <is>
          <t>*** UNIT CHANGED — 7.5 oz MINIS, not 12 oz cans. Qty in column D is 12 oz cans and CANNOT be compared to this. Reconcile upstream (Assumptions B7/B157) before trusting the green. ***
5 x 30-pk variety minis -&gt; 50 x 7.5 oz Sprite = 375 oz. Need 304.7 oz. COVERED on volume.</t>
        </is>
      </c>
      <c r="K23" s="170" t="inlineStr">
        <is>
          <t>https://www.costco.com/p/-/coca-cola-mini-variety-pack-75-fl-oz-30-count/100787633?langId=-1</t>
        </is>
      </c>
      <c r="L23" s="170" t="inlineStr">
        <is>
          <t>[[ RENO — NEXT WEEK ]]
Shirley Temple of Doom, Shirley Mule and the 2 oz top-up that goes into every Squirt build, plus Sunday's Cherry Bomb jug. THE JUG'S 82.5 oz DOES NOT COME OUT OF CANS — it is poured from the 2 L bottles on row 91, and column K already nets that off, which is why this needs fewer cans than the buffered oz suggests. Shirley Mule moved onto Sprite (it was ginger ale) on 10 Aug 2026, which added 20 oz here.</t>
        </is>
      </c>
      <c r="R23" s="170">
        <f>'Base Soda — Cans'!B4</f>
        <v/>
      </c>
      <c r="S23" s="170">
        <f>'Base Soda — Cans'!C4</f>
        <v/>
      </c>
      <c r="T23" s="170">
        <f>MAX('Base Soda — Cans'!C4-'Base Soda — Cans'!H4,0)</f>
        <v/>
      </c>
      <c r="U23" s="170">
        <f>CEILING(T23/(Assumptions!$B$7*Assumptions!$B$157),1)</f>
        <v/>
      </c>
      <c r="V23" s="170">
        <f>CEILING(T23/(Assumptions!$B$165*Assumptions!$B$238),1)</f>
        <v/>
      </c>
    </row>
    <row r="24" ht="15.75" customHeight="1" s="171">
      <c r="A24" s="189" t="inlineStr">
        <is>
          <t>☐</t>
        </is>
      </c>
      <c r="B24" s="170" t="inlineStr">
        <is>
          <t>Coke — base soda</t>
        </is>
      </c>
      <c r="C24" s="170" t="inlineStr">
        <is>
          <t>Soda</t>
        </is>
      </c>
      <c r="D24" s="170">
        <f>U24</f>
        <v/>
      </c>
      <c r="E24" s="170" t="inlineStr">
        <is>
          <t>cans</t>
        </is>
      </c>
      <c r="F24" s="170">
        <f>'Base Soda — Cans'!E5*Assumptions!$B$16</f>
        <v/>
      </c>
      <c r="G24" s="294" t="inlineStr">
        <is>
          <t>Costco</t>
        </is>
      </c>
      <c r="H24" s="286" t="n"/>
      <c r="I24" s="286">
        <f>IF(AND($H24="",$J24=""),"· not ordered",IF($H24="","⚠ REVIEW",IF(N($H24)&gt;=N($D24),"✅ MET","⚠ SHORT "&amp;TEXT(N($D24)-N($H24),"0")&amp;" "&amp;$E24)))</f>
        <v/>
      </c>
      <c r="J24" s="170" t="inlineStr">
        <is>
          <t>*** UNIT CHANGED — 7.5 oz MINIS, not 12 oz cans. Qty in column D is 12 oz cans and CANNOT be compared to this. Reconcile upstream (Assumptions B7/B157) before trusting the green. ***
50 Cherry Coke minis (variety) + 2 x 30-pk plain Coke minis = 110 x 7.5 oz = 825 oz. Need 598 oz. COVERED on volume. Cherry Coke into the regular Coke bin — see the Vanilla Cherry Grove cherry-on-cherry question.</t>
        </is>
      </c>
      <c r="K24" s="170" t="inlineStr">
        <is>
          <t>https://www.costco.com/p/-/coca-cola-mini-variety-pack-75-fl-oz-30-count/100787633?langId=-1
https://www.costco.com/p/-/coca-cola-mini-75-fl-oz-30-count/100735424?langId=-1</t>
        </is>
      </c>
      <c r="L24" s="170" t="inlineStr">
        <is>
          <t>Vanilla Cherry Grove only — 4 oz x 130 servings. The single biggest base-soda draw on the bar.</t>
        </is>
      </c>
      <c r="R24" s="170">
        <f>'Base Soda — Cans'!B5</f>
        <v/>
      </c>
      <c r="S24" s="170">
        <f>'Base Soda — Cans'!C5</f>
        <v/>
      </c>
      <c r="T24" s="170">
        <f>MAX('Base Soda — Cans'!C5-'Base Soda — Cans'!H5,0)</f>
        <v/>
      </c>
      <c r="U24" s="170">
        <f>CEILING(T24/(Assumptions!$B$7*Assumptions!$B$157),1)</f>
        <v/>
      </c>
      <c r="V24" s="170">
        <f>CEILING(T24/(Assumptions!$B$165*Assumptions!$B$238),1)</f>
        <v/>
      </c>
    </row>
    <row r="25" ht="15.75" customHeight="1" s="171">
      <c r="A25" s="170" t="inlineStr">
        <is>
          <t>☐</t>
        </is>
      </c>
      <c r="B25" s="170" t="inlineStr">
        <is>
          <t>Dr Pepper — base soda</t>
        </is>
      </c>
      <c r="C25" s="170" t="inlineStr">
        <is>
          <t>Soda</t>
        </is>
      </c>
      <c r="D25" s="170">
        <f>U25</f>
        <v/>
      </c>
      <c r="E25" s="170" t="inlineStr">
        <is>
          <t>cans</t>
        </is>
      </c>
      <c r="F25" s="170">
        <f>'Base Soda — Cans'!E8*Assumptions!$B$16</f>
        <v/>
      </c>
      <c r="G25" s="294" t="inlineStr">
        <is>
          <t>Grocery (Reno)</t>
        </is>
      </c>
      <c r="H25" s="286" t="n"/>
      <c r="I25" s="286">
        <f>IF(AND($H25="",$J25=""),"· not ordered",IF($H25="","⚠ REVIEW",IF(N($H25)&gt;=N($D25),"✅ MET","⚠ SHORT "&amp;TEXT(N($D25)-N($H25),"0")&amp;" "&amp;$E25)))</f>
        <v/>
      </c>
      <c r="J25" s="170" t="inlineStr">
        <is>
          <t>*** NOT CARRIED AT RENO COSTCO — moved to Grocery (Reno) 14 Aug 2026. *** Still to buy; the mini-can format on Sprite/Fanta/Coke does NOT apply here unless you find minis for this flavour too.</t>
        </is>
      </c>
      <c r="K25" s="170" t="n"/>
      <c r="L25" s="281" t="inlineStr">
        <is>
          <t>The Dr's Cream + The Dr's Peach Exam — 4 oz x 80 servings between them.</t>
        </is>
      </c>
      <c r="R25" s="170">
        <f>'Base Soda — Cans'!B8</f>
        <v/>
      </c>
      <c r="S25" s="170">
        <f>'Base Soda — Cans'!C8</f>
        <v/>
      </c>
      <c r="T25" s="170">
        <f>MAX('Base Soda — Cans'!C8-'Base Soda — Cans'!H8,0)</f>
        <v/>
      </c>
      <c r="U25" s="170">
        <f>CEILING(T25/(Assumptions!$B$7*Assumptions!$B$157),1)</f>
        <v/>
      </c>
      <c r="V25" s="170">
        <f>CEILING(T25/(Assumptions!$B$165*Assumptions!$B$238),1)</f>
        <v/>
      </c>
    </row>
    <row r="26" ht="15.75" customHeight="1" s="171">
      <c r="A26" s="170" t="inlineStr">
        <is>
          <t>☐</t>
        </is>
      </c>
      <c r="B26" s="170" t="inlineStr">
        <is>
          <t>Ginger ale — base soda</t>
        </is>
      </c>
      <c r="C26" s="170" t="inlineStr">
        <is>
          <t>Soda</t>
        </is>
      </c>
      <c r="D26" s="170">
        <f>U26</f>
        <v/>
      </c>
      <c r="E26" s="170" t="inlineStr">
        <is>
          <t>cans</t>
        </is>
      </c>
      <c r="F26" s="170">
        <f>'Base Soda — Cans'!E9*Assumptions!$B$16</f>
        <v/>
      </c>
      <c r="G26" s="294" t="inlineStr">
        <is>
          <t>Grocery (Reno)</t>
        </is>
      </c>
      <c r="H26" s="286" t="n"/>
      <c r="I26" s="286">
        <f>IF(AND($H26="",$J26=""),"· not ordered",IF($H26="","⚠ REVIEW",IF(N($H26)&gt;=N($D26),"✅ MET","⚠ SHORT "&amp;TEXT(N($D26)-N($H26),"0")&amp;" "&amp;$E26)))</f>
        <v/>
      </c>
      <c r="J26" s="170" t="inlineStr">
        <is>
          <t>*** NOT CARRIED AT RENO COSTCO — moved to Grocery (Reno) 14 Aug 2026. *** Still to buy; the mini-can format on Sprite/Fanta/Coke does NOT apply here unless you find minis for this flavour too.</t>
        </is>
      </c>
      <c r="L26" s="170" t="inlineStr">
        <is>
          <t>A Ginger's Pickle ONLY as of 10 Aug 2026 — the Shirley Mule moved onto Sprite that day and takes its ginger from the ginger beer instead, which halved this line from 320 oz to 160.
*** VENDOR CHECK 13 Aug 2026: Costco #779330, 36 x 12 oz, TRUE SINGLE-FLAVOUR. Do not let the shopper grab the seasonal Winter/Summer variety packs by mistake. ***</t>
        </is>
      </c>
      <c r="R26" s="170">
        <f>'Base Soda — Cans'!B9</f>
        <v/>
      </c>
      <c r="S26" s="170">
        <f>'Base Soda — Cans'!C9</f>
        <v/>
      </c>
      <c r="T26" s="170">
        <f>MAX('Base Soda — Cans'!C9-'Base Soda — Cans'!H9,0)</f>
        <v/>
      </c>
      <c r="U26" s="170">
        <f>CEILING(T26/(Assumptions!$B$7*Assumptions!$B$157),1)</f>
        <v/>
      </c>
      <c r="V26" s="170">
        <f>CEILING(T26/(Assumptions!$B$165*Assumptions!$B$238),1)</f>
        <v/>
      </c>
    </row>
    <row r="27" ht="15.75" customHeight="1" s="171">
      <c r="A27" s="170" t="inlineStr">
        <is>
          <t>☐</t>
        </is>
      </c>
      <c r="B27" s="170" t="inlineStr">
        <is>
          <t>Squirt — base soda</t>
        </is>
      </c>
      <c r="C27" s="170" t="inlineStr">
        <is>
          <t>Soda</t>
        </is>
      </c>
      <c r="D27" s="170">
        <f>U27</f>
        <v/>
      </c>
      <c r="E27" s="170" t="inlineStr">
        <is>
          <t>cans</t>
        </is>
      </c>
      <c r="F27" s="170">
        <f>'Base Soda — Cans'!E10*Assumptions!$B$16</f>
        <v/>
      </c>
      <c r="G27" s="294" t="inlineStr">
        <is>
          <t>Grocery (Reno)</t>
        </is>
      </c>
      <c r="H27" s="286" t="n"/>
      <c r="I27" s="286">
        <f>IF(AND($H27="",$J27=""),"· not ordered",IF($H27="","⚠ REVIEW",IF(N($H27)&gt;=N($D27),"✅ MET","⚠ SHORT "&amp;TEXT(N($D27)-N($H27),"0")&amp;" "&amp;$E27)))</f>
        <v/>
      </c>
      <c r="J27" s="170" t="inlineStr">
        <is>
          <t>*** NOT CARRIED AT RENO COSTCO — moved to Grocery (Reno) 14 Aug 2026. *** Still to buy; the mini-can format on Sprite/Fanta/Coke does NOT apply here unless you find minis for this flavour too.</t>
        </is>
      </c>
      <c r="K27" s="170" t="n"/>
      <c r="L27" s="170" t="inlineStr">
        <is>
          <t>Thirst Trap (5 oz) + Catboy Snot (4 oz). Each of those builds also takes 2 oz of Sprite, which is charged to the Sprite line on row 5, not here.
*** VENDOR CHECK 13 Aug 2026: Costco #246605, 36 x 12 oz. REGIONAL SKU — only ~183 warehouses, though the Southwest is its strong market. Phone Reno (775) 689-2200 with the item number before the drive. ***</t>
        </is>
      </c>
      <c r="R27" s="170">
        <f>'Base Soda — Cans'!B10</f>
        <v/>
      </c>
      <c r="S27" s="170">
        <f>'Base Soda — Cans'!C10</f>
        <v/>
      </c>
      <c r="T27" s="170">
        <f>MAX('Base Soda — Cans'!C10-'Base Soda — Cans'!H10,0)</f>
        <v/>
      </c>
      <c r="U27" s="170">
        <f>CEILING(T27/(Assumptions!$B$7*Assumptions!$B$157),1)</f>
        <v/>
      </c>
      <c r="V27" s="170">
        <f>CEILING(T27/(Assumptions!$B$165*Assumptions!$B$238),1)</f>
        <v/>
      </c>
    </row>
    <row r="28" ht="15.75" customHeight="1" s="171">
      <c r="A28" s="170" t="inlineStr">
        <is>
          <t>☐</t>
        </is>
      </c>
      <c r="B28" s="170" t="inlineStr">
        <is>
          <t>Root beer — base soda</t>
        </is>
      </c>
      <c r="C28" s="170" t="inlineStr">
        <is>
          <t>Soda</t>
        </is>
      </c>
      <c r="D28" s="170">
        <f>U28</f>
        <v/>
      </c>
      <c r="E28" s="170" t="inlineStr">
        <is>
          <t>cans</t>
        </is>
      </c>
      <c r="F28" s="170">
        <f>'Base Soda — Cans'!E13*Assumptions!$B$16</f>
        <v/>
      </c>
      <c r="G28" s="294" t="inlineStr">
        <is>
          <t>Grocery (Reno)</t>
        </is>
      </c>
      <c r="H28" s="286" t="n"/>
      <c r="I28" s="286">
        <f>IF(AND($H28="",$J28=""),"· not ordered",IF($H28="","⚠ REVIEW",IF(N($H28)&gt;=N($D28),"✅ MET","⚠ SHORT "&amp;TEXT(N($D28)-N($H28),"0")&amp;" "&amp;$E28)))</f>
        <v/>
      </c>
      <c r="J28" s="170" t="inlineStr">
        <is>
          <t>*** NOT CARRIED AT RENO COSTCO — moved to Grocery (Reno) 14 Aug 2026. *** Still to buy; the mini-can format on Sprite/Fanta/Coke does NOT apply here unless you find minis for this flavour too.</t>
        </is>
      </c>
      <c r="L28" s="281" t="inlineStr">
        <is>
          <t>Root Access only — 4 oz x 40 servings. A&amp;W 36-pack is $15.99 at Costco, $0.44/can: the cheapest base on the board and effectively identical to the 35-pack price the model assumes.
*** VENDOR CHECK 13 Aug 2026: Costco #779320, 36 x 12 oz. THIN DISTRIBUTION — only ~7 warehouses reporting stock. Confirm by phone or plan a grocery fallback. ***</t>
        </is>
      </c>
      <c r="R28" s="170">
        <f>'Base Soda — Cans'!B13</f>
        <v/>
      </c>
      <c r="S28" s="170">
        <f>'Base Soda — Cans'!C13</f>
        <v/>
      </c>
      <c r="T28" s="170">
        <f>MAX('Base Soda — Cans'!C13-'Base Soda — Cans'!H13,0)</f>
        <v/>
      </c>
      <c r="U28" s="170">
        <f>CEILING(T28/(Assumptions!$B$7*Assumptions!$B$157),1)</f>
        <v/>
      </c>
      <c r="V28" s="170">
        <f>CEILING(T28/(Assumptions!$B$165*Assumptions!$B$238),1)</f>
        <v/>
      </c>
    </row>
    <row r="29" ht="15.75" customHeight="1" s="171">
      <c r="A29" s="170" t="inlineStr">
        <is>
          <t>☐</t>
        </is>
      </c>
      <c r="B29" s="170" t="inlineStr">
        <is>
          <t>Lemonade — Kirkland Organic, 96 oz bottles</t>
        </is>
      </c>
      <c r="C29" s="170" t="inlineStr">
        <is>
          <t>Soda</t>
        </is>
      </c>
      <c r="D29" s="170">
        <f>'Other Consumables'!D19</f>
        <v/>
      </c>
      <c r="E29" s="170" t="inlineStr">
        <is>
          <t>96 oz bottles (2-count packs)</t>
        </is>
      </c>
      <c r="F29" s="170">
        <f>D29*Assumptions!$B$17</f>
        <v/>
      </c>
      <c r="G29" s="294" t="inlineStr">
        <is>
          <t>Costco</t>
        </is>
      </c>
      <c r="H29" s="286" t="n">
        <v>4</v>
      </c>
      <c r="I29" s="286">
        <f>IF(AND($H29="",$J29=""),"· not ordered",IF($H29="","⚠ REVIEW",IF(N($H29)&gt;=N($D29),"✅ MET","⚠ SHORT "&amp;TEXT(N($D29)-N($H29),"0")&amp;" "&amp;$E29)))</f>
        <v/>
      </c>
      <c r="J29" s="170" t="inlineStr">
        <is>
          <t>2 x 2-count packs = 4 x 96 oz bottles. Exactly the 4 needed.</t>
        </is>
      </c>
      <c r="K29" s="170" t="inlineStr">
        <is>
          <t>https://www.costco.com/p/-/kirkland-signature-organic-lemonade-96-fl-oz-2-count/100384650?langId=-1</t>
        </is>
      </c>
      <c r="L29" s="281" t="inlineStr">
        <is>
          <t>BUY 2 PACKS = 4 x 96 oz BOTTLES = 384 oz. Requirement is 299 oz raw (200 oz Watermelon Sugar High + 99 oz Tuesday Smoke Test) and 343.9 oz with the 15% buffer, so 4 bottles clears it with ~40 oz spare. Holds at 2 packs even if the base pour drops to 3.75 oz. READY-TO-DRINK AS OF 14 Aug 2026 — NO MIXING. The powder and the mix-on-arrival session are both gone; open a bottle when the bar needs one. Shelf-stable until opened, so it travels dry and only wants cooler space once cracked. NOTE THE TRADE: an opened 96 oz bottle now serves the Watermelon Sugar High 4 oz at a time across eight days, so there will be an open bottle in the cooler most of the week — the powder had no such open container. Tuesday’s jug drinks 99 oz in one go, so that one is clean.</t>
        </is>
      </c>
    </row>
    <row r="30" ht="15.75" customHeight="1" s="171">
      <c r="A30" s="170" t="inlineStr">
        <is>
          <t>☐</t>
        </is>
      </c>
      <c r="B30" s="170" t="inlineStr">
        <is>
          <t>Green tea, unsweetened — 12 x 16.9 oz</t>
        </is>
      </c>
      <c r="C30" s="170" t="inlineStr">
        <is>
          <t>Beverage</t>
        </is>
      </c>
      <c r="D30" s="170">
        <f>'Packaged Sizing'!B43</f>
        <v/>
      </c>
      <c r="E30" s="170" t="inlineStr">
        <is>
          <t>12-packs</t>
        </is>
      </c>
      <c r="F30" s="170">
        <f>'Packaged Sizing'!D43</f>
        <v/>
      </c>
      <c r="G30" s="294" t="inlineStr">
        <is>
          <t>Costco</t>
        </is>
      </c>
      <c r="H30" s="283" t="n">
        <v>2</v>
      </c>
      <c r="I30" s="286">
        <f>IF(AND($H30="",$J30=""),"· not ordered",IF($H30="","⚠ REVIEW",IF(N($H30)&gt;=N($D30),"✅ MET","⚠ SHORT "&amp;TEXT(N($D30)-N($H30),"0")&amp;" "&amp;$E30)))</f>
        <v/>
      </c>
      <c r="J30" s="170" t="inlineStr">
        <is>
          <t>2 x 12-packs (16.9 oz). Matches the 2-pack decision; the last gallon is cold-steeped (Assumptions B263).</t>
        </is>
      </c>
      <c r="K30" s="170" t="inlineStr">
        <is>
          <t>https://www.costco.com/p/-/ito-en-oi-ocha-unsweetened-green-tea-169-fl-oz-12-count/100381540?langId=-1</t>
        </is>
      </c>
      <c r="L30" s="170" t="inlineStr">
        <is>
          <t>WAS: green tea keg, $130. Ito En unsweetened, 16.9 oz x 12.
*** 2 PACKS, DECIDED 14 Aug 2026 — DOWN FROM 3. *** The full line is 508 oz (47 Refreshers + 33 Sakura Kisses) and 3 packs would cover it. 2 packs is 405.6 oz, 128 oz short — so THE LAST GALLON IS COLD-STEEPED FROM TEABAGS instead (Assumptions B263). That is 16 Refreshers, 4 extra teabags out of the box on row 62, and $18.59 saved. All 80 green tea servings still exist; the split is only about where the liquid comes from.
IF YOU WOULD RATHER NOT STEEP: set Assumptions B263 to 0 and this line re-derives to 3 packs.
*** VENDOR CHECK 13 Aug 2026: Costco #290983 (Ito En Oi Ocha, 12 x 16.9 oz) — exact format match. Regular $18.59, instant saving $9.97; the promo was flagged as ending within days of 2 Aug, so assume it is gone unless you see it. STOCK RISK: carried by only ~36% of warehouses — if Reno is out, steep the whole line and buy no bottles at all. ***</t>
        </is>
      </c>
    </row>
    <row r="31" ht="15.75" customHeight="1" s="171">
      <c r="A31" s="170" t="inlineStr">
        <is>
          <t>☐</t>
        </is>
      </c>
      <c r="B31" s="170" t="inlineStr">
        <is>
          <t>Vodka (750ml bottles)</t>
        </is>
      </c>
      <c r="C31" s="170" t="inlineStr">
        <is>
          <t>Liquor</t>
        </is>
      </c>
      <c r="D31" s="170">
        <f>'Other Consumables'!D26</f>
        <v/>
      </c>
      <c r="E31" s="170" t="inlineStr">
        <is>
          <t>bottles</t>
        </is>
      </c>
      <c r="F31" s="170">
        <f>'Other Consumables'!F26</f>
        <v/>
      </c>
      <c r="G31" s="294" t="inlineStr">
        <is>
          <t>Costco (Reno) — ordered</t>
        </is>
      </c>
      <c r="H31" s="286" t="n">
        <v>9.32</v>
      </c>
      <c r="I31" s="286">
        <f>IF(AND($H31="",$J31=""),"· not ordered",IF($H31="","⚠ REVIEW",IF(N($H31)&gt;=N($D31),"✅ MET","⚠ SHORT "&amp;TEXT(N($D31)-N($H31),"0")&amp;" "&amp;$E31)))</f>
        <v/>
      </c>
      <c r="J31" s="170" t="inlineStr">
        <is>
          <t>2x Tito's Handmade Vodka (#390352, 1.75L) + 2x Kirkland Signature American Vodka (#639271, 1.75L) = 4 bottles, 236.8 oz total</t>
        </is>
      </c>
      <c r="L31" s="170" t="inlineStr">
        <is>
          <t>Peach/Vanilla or plain
*** RENO COSTCO ORDER CONFIRMED 18 Aug 2026: 2x Tito's + 2x KS American Vodka, both 1.75L. 236.8 oz total vs 110.5 oz buffered need — 214% coverage, comfortably MET. The Ordered figure above (9.32) is expressed in this row's own 750ml-bottle-equivalent units (236.8 / 25.4) so it compares fairly against column D; the real purchase is 4 physical 1.75L bottles, not ~9 bottles of anything. Est. cost: $73-$96 (Tito's ~$25-29/ea x2, KS American ~$11.50-19.49/ea x2). Any alcohol not covered by this Reno Costco run is assumed sourced from Reno BevMo instead. ***</t>
        </is>
      </c>
    </row>
    <row r="32" ht="15.75" customHeight="1" s="171">
      <c r="A32" s="204" t="inlineStr">
        <is>
          <t>☐</t>
        </is>
      </c>
      <c r="B32" s="288" t="inlineStr">
        <is>
          <t>Coconut Rum (750ml bottles)</t>
        </is>
      </c>
      <c r="C32" s="204" t="inlineStr">
        <is>
          <t>Liquor</t>
        </is>
      </c>
      <c r="D32" s="289">
        <f>'Other Consumables'!D27</f>
        <v/>
      </c>
      <c r="E32" s="204" t="inlineStr">
        <is>
          <t>bottles</t>
        </is>
      </c>
      <c r="F32" s="241">
        <f>'Other Consumables'!F27</f>
        <v/>
      </c>
      <c r="G32" s="290" t="inlineStr">
        <is>
          <t>Costco (Reno) — ordered</t>
        </is>
      </c>
      <c r="H32" s="291" t="n">
        <v>2.33</v>
      </c>
      <c r="I32" s="286">
        <f>IF(AND($H32="",$J32=""),"· not ordered",IF($H32="","⚠ REVIEW",IF(N($H32)&gt;=N($D32),"✅ MET","⚠ SHORT "&amp;TEXT(N($D32)-N($H32),"0")&amp;" "&amp;$E32)))</f>
        <v/>
      </c>
      <c r="J32" s="170" t="inlineStr">
        <is>
          <t>1x Malibu Caribbean/Coconut Rum (#36745, 1.75L) = 59.2 oz</t>
        </is>
      </c>
      <c r="L32" s="170" t="inlineStr">
        <is>
          <t>Malibu
*** VENDOR CHECK 13 Aug 2026: NO KIRKLAND COCONUT RUM EXISTS. Costco carries Malibu 1.75 L, item #36745. Kirkland 1.75 L does exist for vodka, bourbon, blanco tequila and spiced rum — see the 1.75 L switch argument on 'Ingredient Pricing' row 104 (needs Assumptions B41 changed from 25.4 oz to 59.2 oz). ***
*** RENO COSTCO ORDER CONFIRMED 18 Aug 2026: 1x Malibu 1.75L. 59.2 oz vs 19.9 oz buffered need — 297% coverage, comfortably MET (only 1 bottle was ever needed here regardless of size). Est. cost: $18-$30. ***</t>
        </is>
      </c>
    </row>
    <row r="33" ht="15.75" customHeight="1" s="171">
      <c r="A33" s="295" t="inlineStr">
        <is>
          <t>☐</t>
        </is>
      </c>
      <c r="B33" s="296" t="inlineStr">
        <is>
          <t>Bourbon (750ml bottles)</t>
        </is>
      </c>
      <c r="C33" s="204" t="inlineStr">
        <is>
          <t>Liquor</t>
        </is>
      </c>
      <c r="D33" s="289">
        <f>'Other Consumables'!D28</f>
        <v/>
      </c>
      <c r="E33" s="204" t="inlineStr">
        <is>
          <t>bottles</t>
        </is>
      </c>
      <c r="F33" s="297">
        <f>'Other Consumables'!F28</f>
        <v/>
      </c>
      <c r="G33" s="290" t="inlineStr">
        <is>
          <t>Costco (Reno) — ordered</t>
        </is>
      </c>
      <c r="H33" s="291" t="n">
        <v>6.99</v>
      </c>
      <c r="I33" s="286">
        <f>IF(AND($H33="",$J33=""),"· not ordered",IF($H33="","⚠ REVIEW",IF(N($H33)&gt;=N($D33),"✅ MET","⚠ SHORT "&amp;TEXT(N($D33)-N($H33),"0")&amp;" "&amp;$E33)))</f>
        <v/>
      </c>
      <c r="J33" s="170" t="inlineStr">
        <is>
          <t>3x Jim Beam Bourbon (#50252, 1.75L) = 177.6 oz</t>
        </is>
      </c>
      <c r="L33" s="281" t="inlineStr">
        <is>
          <t>*** RENO COSTCO ORDER CONFIRMED 18 Aug 2026: 3x Jim Beam 1.75L. 177.6 oz vs 120.75 oz buffered need — 147% coverage, comfortably MET. Est. cost: $54-$75. ***</t>
        </is>
      </c>
    </row>
    <row r="34" ht="15.75" customHeight="1" s="171">
      <c r="A34" s="295" t="inlineStr">
        <is>
          <t>☐</t>
        </is>
      </c>
      <c r="B34" s="296" t="inlineStr">
        <is>
          <t>Blanco Tequila (750ml bottles)</t>
        </is>
      </c>
      <c r="C34" s="204" t="inlineStr">
        <is>
          <t>Liquor</t>
        </is>
      </c>
      <c r="D34" s="289">
        <f>'Other Consumables'!D29</f>
        <v/>
      </c>
      <c r="E34" s="204" t="inlineStr">
        <is>
          <t>bottles</t>
        </is>
      </c>
      <c r="F34" s="297">
        <f>'Other Consumables'!F29</f>
        <v/>
      </c>
      <c r="G34" s="290" t="inlineStr">
        <is>
          <t>Costco (Reno) — ordered</t>
        </is>
      </c>
      <c r="H34" s="286" t="n">
        <v>9.31</v>
      </c>
      <c r="I34" s="286">
        <f>IF(AND($H34="",$J34=""),"· not ordered",IF($H34="","⚠ REVIEW",IF(N($H34)&gt;=N($D34),"✅ MET","⚠ SHORT "&amp;TEXT(N($D34)-N($H34),"0")&amp;" "&amp;$E34)))</f>
        <v/>
      </c>
      <c r="J34" s="170" t="inlineStr">
        <is>
          <t>7x Cazadores Blanco Tequila (#233367, 1.0L) = 236.6 oz</t>
        </is>
      </c>
      <c r="L34" s="170" t="inlineStr">
        <is>
          <t>*** RENO COSTCO ORDER CONFIRMED 18 Aug 2026: 7x Cazadores Blanco 1.0L. 236.6 oz vs 234.4 oz buffered need — 101% coverage, genuinely MET — this is the single biggest liquor line on the bar. NOTE: the Status column (I) may still display '⚠ SHORT 1 bottles' — that's a unit-conversion artifact, not a real gap: column D's target (10) is CEILING'd in 750ml-bottle units, and 7 x 1L bottles land at 9.31 of those units even though the real ounces clear the buffered requirement. No further tequila purchase is needed; an 8th 1L bottle is optional headroom only, not required. Est. cost: $174-$182. ***</t>
        </is>
      </c>
    </row>
    <row r="35" ht="15" customHeight="1" s="171">
      <c r="A35" s="295" t="inlineStr">
        <is>
          <t>☐</t>
        </is>
      </c>
      <c r="B35" s="296" t="inlineStr">
        <is>
          <t>Spiced Rum (750ml bottles)</t>
        </is>
      </c>
      <c r="C35" s="204" t="inlineStr">
        <is>
          <t>Liquor</t>
        </is>
      </c>
      <c r="D35" s="289">
        <f>'Other Consumables'!D30</f>
        <v/>
      </c>
      <c r="E35" s="204" t="inlineStr">
        <is>
          <t>bottles</t>
        </is>
      </c>
      <c r="F35" s="297">
        <f>'Other Consumables'!F30</f>
        <v/>
      </c>
      <c r="G35" s="290" t="inlineStr">
        <is>
          <t>Costco (Reno) — ordered</t>
        </is>
      </c>
      <c r="H35" s="286" t="n">
        <v>4.66</v>
      </c>
      <c r="I35" s="286">
        <f>IF(AND($H35="",$J35=""),"· not ordered",IF($H35="","⚠ REVIEW",IF(N($H35)&gt;=N($D35),"✅ MET","⚠ SHORT "&amp;TEXT(N($D35)-N($H35),"0")&amp;" "&amp;$E35)))</f>
        <v/>
      </c>
      <c r="J35" s="170" t="inlineStr">
        <is>
          <t>2x Captain Morgan Spiced Rum (#59717, 1.75L) = 118.4 oz</t>
        </is>
      </c>
      <c r="L35" s="170" t="inlineStr">
        <is>
          <t>*** RENO COSTCO ORDER CONFIRMED 18 Aug 2026: 2x Captain Morgan 1.75L. 118.4 oz vs 44.1 oz buffered need — 269% coverage, comfortably MET (only ~1 bottle was strictly needed; 2 gives a deep surplus). Est. cost: $39-$46. ***</t>
        </is>
      </c>
    </row>
    <row r="36" ht="15" customHeight="1" s="171">
      <c r="A36" s="295" t="inlineStr">
        <is>
          <t>☐</t>
        </is>
      </c>
      <c r="B36" s="296" t="inlineStr">
        <is>
          <t>Whiskey (750ml bottles)</t>
        </is>
      </c>
      <c r="C36" s="204" t="inlineStr">
        <is>
          <t>Liquor</t>
        </is>
      </c>
      <c r="D36" s="289">
        <f>'Other Consumables'!D31</f>
        <v/>
      </c>
      <c r="E36" s="204" t="inlineStr">
        <is>
          <t>bottles</t>
        </is>
      </c>
      <c r="F36" s="297">
        <f>'Other Consumables'!F31</f>
        <v/>
      </c>
      <c r="G36" s="290" t="inlineStr">
        <is>
          <t>Costco (Reno) — ordered</t>
        </is>
      </c>
      <c r="H36" s="286" t="n">
        <v>4.66</v>
      </c>
      <c r="I36" s="286">
        <f>IF(AND($H36="",$J36=""),"· not ordered",IF($H36="","⚠ REVIEW",IF(N($H36)&gt;=N($D36),"✅ MET","⚠ SHORT "&amp;TEXT(N($D36)-N($H36),"0")&amp;" "&amp;$E36)))</f>
        <v/>
      </c>
      <c r="J36" s="170" t="inlineStr">
        <is>
          <t>2x Kirkland Signature Canadian Whisky (#888870, 1.75L) = 118.4 oz</t>
        </is>
      </c>
      <c r="L36" s="170" t="inlineStr">
        <is>
          <t>1 pickle flavored
*** VENDOR CHECK 13 Aug 2026: Costco will not have the pickle-flavoured whiskey — that one is a bottle-shop pickup. ***
*** RENO COSTCO ORDER CONFIRMED 18 Aug 2026: 2x KS Canadian Whisky 1.75L. 118.4 oz vs 102.0 oz buffered need — 116% coverage, genuinely MET. NOTE: the Status column (I) may display '⚠ SHORT 0 bottles' — a unit-conversion artifact from column D being CEILING'd in 750ml-bottle units (5), while 2 x 1.75L bottles land at 4.66 of those units despite covering the ounces needed. No further whiskey purchase needed. The pickle-flavored novelty whiskey noted below is still a separate bottle-shop pickup — Costco doesn't carry it. Est. cost: $36-$40. ***</t>
        </is>
      </c>
    </row>
    <row r="37" ht="15" customHeight="1" s="171">
      <c r="A37" s="295" t="inlineStr">
        <is>
          <t>☐</t>
        </is>
      </c>
      <c r="B37" s="296" t="inlineStr">
        <is>
          <t>Tajin (rim salt) — Michelada + Ginger's Pickle</t>
        </is>
      </c>
      <c r="C37" s="204" t="inlineStr">
        <is>
          <t>Built drink</t>
        </is>
      </c>
      <c r="D37" s="289">
        <f>'Other Consumables'!D42</f>
        <v/>
      </c>
      <c r="E37" s="204" t="inlineStr">
        <is>
          <t>shakers</t>
        </is>
      </c>
      <c r="F37" s="297">
        <f>D37*Assumptions!$B$110</f>
        <v/>
      </c>
      <c r="G37" s="290" t="inlineStr">
        <is>
          <t>Costco</t>
        </is>
      </c>
      <c r="H37" s="286" t="n"/>
      <c r="I37" s="286">
        <f>IF(AND($H37="",$J37=""),"· not ordered",IF($H37="","⚠ REVIEW",IF(N($H37)&gt;=N($D37),"✅ MET","⚠ SHORT "&amp;TEXT(N($D37)-N($H37),"0")&amp;" "&amp;$E37)))</f>
        <v/>
      </c>
      <c r="L37" s="170" t="inlineStr">
        <is>
          <t>Was a flat $20 set; now sized from every rimmed drink — Michelada, A Ginger's Pickle, Catboy Piss and Shirley Temple of Doom.</t>
        </is>
      </c>
    </row>
    <row r="38" ht="15.75" customHeight="1" s="171">
      <c r="A38" s="295" t="inlineStr">
        <is>
          <t>☐</t>
        </is>
      </c>
      <c r="B38" s="296" t="inlineStr">
        <is>
          <t>Hard cider — 12-packs (12 oz cans)</t>
        </is>
      </c>
      <c r="C38" s="204" t="inlineStr">
        <is>
          <t>Beverage</t>
        </is>
      </c>
      <c r="D38" s="289">
        <f>'Packaged Sizing'!B40</f>
        <v/>
      </c>
      <c r="E38" s="204" t="inlineStr">
        <is>
          <t>12-packs</t>
        </is>
      </c>
      <c r="F38" s="297">
        <f>'Packaged Sizing'!D40</f>
        <v/>
      </c>
      <c r="G38" s="290" t="inlineStr">
        <is>
          <t>Costco (Reno) — ordered, partial</t>
        </is>
      </c>
      <c r="H38" s="286" t="n">
        <v>6.67</v>
      </c>
      <c r="I38" s="286">
        <f>IF(AND($H38="",$J38=""),"· not ordered",IF($H38="","⚠ REVIEW",IF(N($H38)&gt;=N($D38),"✅ MET","⚠ SHORT "&amp;TEXT(N($D38)-N($H38),"0")&amp;" "&amp;$E38)))</f>
        <v/>
      </c>
      <c r="J38" s="170" t="inlineStr">
        <is>
          <t>5x Golden State Cider Vty Pk (#2072435, 12 x 16 oz cans) = 960 oz</t>
        </is>
      </c>
      <c r="K38" s="170" t="n"/>
      <c r="L38" s="170" t="inlineStr">
        <is>
          <t>WAS: cider keg, $160. Now packaged — see 'Packaged Sizing' section 4.
*** VENDOR CHECK 13 Aug 2026: COSTCO CIDER IS A COIN FLIP. Only one true 12-pack SKU nationally (Martinelli's 1868, #1892383); everything else is 18-packs or seasonal. TELL THE SHOPPER TO ACCEPT AN 18-PACK SUBSTITUTE rather than come back empty. ***
*** RENO COSTCO ORDER CONFIRMED 18 Aug 2026: 5x Golden State Cider 12-packs (16 oz cans, not the 12 oz this row assumes). 960 oz purchased vs 1008 oz buffered need — 95% coverage. This exactly covers the RAW (unbuffered) 960 oz demand but leaves none of the usual 15% waste buffer — a GENUINE partial, not a rounding artifact: about 48 oz (~3 cans) short of full buffer. Options: add a 6th Costco pack (+$34.59, clears it with room), plan a small Reno BevMo/grocery top-up (~3 cans), or accept the thinner margin. Est. cost as bought: $172.95 — notably above the model's old $140 placeholder because the real format is 16 oz cans, not 12 oz. ***</t>
        </is>
      </c>
    </row>
    <row r="39" ht="15.75" customHeight="1" s="171">
      <c r="A39" s="295" t="inlineStr">
        <is>
          <t>☐</t>
        </is>
      </c>
      <c r="B39" s="296" t="inlineStr">
        <is>
          <t>Mexican lager — 24-packs (12 oz cans)</t>
        </is>
      </c>
      <c r="C39" s="298" t="inlineStr">
        <is>
          <t>Beverage</t>
        </is>
      </c>
      <c r="D39" s="289">
        <f>'Packaged Sizing'!B45</f>
        <v/>
      </c>
      <c r="E39" s="204" t="inlineStr">
        <is>
          <t>24-packs</t>
        </is>
      </c>
      <c r="F39" s="297">
        <f>'Packaged Sizing'!D45</f>
        <v/>
      </c>
      <c r="G39" s="290" t="inlineStr">
        <is>
          <t>Costco (Reno) — ordered</t>
        </is>
      </c>
      <c r="H39" s="286" t="n">
        <v>3</v>
      </c>
      <c r="I39" s="286">
        <f>IF(AND($H39="",$J39=""),"· not ordered",IF($H39="","⚠ REVIEW",IF(N($H39)&gt;=N($D39),"✅ MET","⚠ SHORT "&amp;TEXT(N($D39)-N($H39),"0")&amp;" "&amp;$E39)))</f>
        <v/>
      </c>
      <c r="J39" s="170" t="inlineStr">
        <is>
          <t>3x Modelo Especial Cans, 24-pack (#128935, 12 oz cans) = 864 oz / 72 cans</t>
        </is>
      </c>
      <c r="K39" s="281" t="n"/>
      <c r="L39" s="281" t="inlineStr">
        <is>
          <t>WAS: Mexican Lager keg, $150. Biggest per-oz win on the board — Modelo/Pacifico 24-packs.
*** VENDOR CHECK 13 Aug 2026: Costco #128935 Modelo Especial (461 warehouses) or #1771653 Pacifico, both 24 x 12 oz. Safest beer line on the list. ***
*** RENO COSTCO ORDER CONFIRMED 18 Aug 2026: 3x Modelo Especial Cans 24-packs. 72 cans vs the 72-can target — clean, exact MET. Cans, not bottles — playa-safe. Est. cost: $60-$81. ***</t>
        </is>
      </c>
    </row>
    <row r="40" ht="15.75" customHeight="1" s="171">
      <c r="A40" s="295" t="inlineStr">
        <is>
          <t>☐</t>
        </is>
      </c>
      <c r="B40" s="296" t="inlineStr">
        <is>
          <t>Watermelon (whole — blend &amp; strain for Mon fresca)</t>
        </is>
      </c>
      <c r="C40" s="204" t="inlineStr">
        <is>
          <t>Daily Special</t>
        </is>
      </c>
      <c r="D40" s="289">
        <f>'Jug Recipes'!D18</f>
        <v/>
      </c>
      <c r="E40" s="204" t="inlineStr">
        <is>
          <t>melons</t>
        </is>
      </c>
      <c r="F40" s="297">
        <f>'Jug Recipes'!F18</f>
        <v/>
      </c>
      <c r="G40" s="290" t="inlineStr">
        <is>
          <t>Costco</t>
        </is>
      </c>
      <c r="H40" s="286" t="n"/>
      <c r="I40" s="286">
        <f>IF(AND($H40="",$J40=""),"· not ordered",IF($H40="","⚠ REVIEW",IF(N($H40)&gt;=N($D40),"✅ MET","⚠ SHORT "&amp;TEXT(N($D40)-N($H40),"0")&amp;" "&amp;$E40)))</f>
        <v/>
      </c>
      <c r="J40" s="170" t="n"/>
      <c r="L40" s="281" t="inlineStr">
        <is>
          <t>MONDAY ONLY. These are for the Hard Reset fresca and nothing else — the Watermelon Sugar High now takes carton juice off row 88, so do not plan on the melons stretching across the week. They travel fine unrefrigerated but they are gone by Tuesday.</t>
        </is>
      </c>
    </row>
    <row r="41" ht="15.75" customHeight="1" s="171">
      <c r="A41" s="295" t="inlineStr">
        <is>
          <t>☐</t>
        </is>
      </c>
      <c r="B41" s="296" t="inlineStr">
        <is>
          <t>Agave syrup (36oz) — jug frescas</t>
        </is>
      </c>
      <c r="C41" s="204" t="inlineStr">
        <is>
          <t>Daily Special</t>
        </is>
      </c>
      <c r="D41" s="289">
        <f>'Jug Recipes'!D19</f>
        <v/>
      </c>
      <c r="E41" s="204" t="inlineStr">
        <is>
          <t>bottles</t>
        </is>
      </c>
      <c r="F41" s="297">
        <f>'Jug Recipes'!F19</f>
        <v/>
      </c>
      <c r="G41" s="290" t="inlineStr">
        <is>
          <t>Costco</t>
        </is>
      </c>
      <c r="H41" s="286" t="n">
        <v>2</v>
      </c>
      <c r="I41" s="286">
        <f>IF(AND($H41="",$J41=""),"· not ordered",IF($H41="","⚠ REVIEW",IF(N($H41)&gt;=N($D41),"✅ MET","⚠ SHORT "&amp;TEXT(N($D41)-N($H41),"0")&amp;" "&amp;$E41)))</f>
        <v/>
      </c>
      <c r="J41" s="170" t="inlineStr">
        <is>
          <t>2 x (2 x 36 oz) packs = 4 bottles TOTAL, shared with row 38 (SCOBY Mule). 3 needed across both rows, 4 bought.</t>
        </is>
      </c>
      <c r="K41" s="170" t="inlineStr">
        <is>
          <t>https://www.costco.com/p/-/kirkland-signature-organic-blue-agave-36-oz-2-count/100381407?langId=-1</t>
        </is>
      </c>
      <c r="L41" s="170" t="inlineStr">
        <is>
          <t>Mon Hard Reset + Wed Red Flag (Daily Schedule row 19)
[Buyer note carried over from the old scratch column: Christophe]</t>
        </is>
      </c>
    </row>
    <row r="42" ht="15.75" customHeight="1" s="171">
      <c r="A42" s="295" t="inlineStr">
        <is>
          <t>☐</t>
        </is>
      </c>
      <c r="B42" s="296" t="inlineStr">
        <is>
          <t>Orange juice (64oz cartons)</t>
        </is>
      </c>
      <c r="C42" s="204" t="inlineStr">
        <is>
          <t>Daily Special</t>
        </is>
      </c>
      <c r="D42" s="289">
        <f>'Jug Recipes'!D23</f>
        <v/>
      </c>
      <c r="E42" s="204" t="inlineStr">
        <is>
          <t>cartons</t>
        </is>
      </c>
      <c r="F42" s="297">
        <f>'Jug Recipes'!F23</f>
        <v/>
      </c>
      <c r="G42" s="290" t="inlineStr">
        <is>
          <t>Costco</t>
        </is>
      </c>
      <c r="H42" s="283" t="n"/>
      <c r="I42" s="286">
        <f>IF(AND($H42="",$J42=""),"· not ordered",IF($H42="","⚠ REVIEW",IF(N($H42)&gt;=N($D42),"✅ MET","⚠ SHORT "&amp;TEXT(N($D42)-N($H42),"0")&amp;" "&amp;$E42)))</f>
        <v/>
      </c>
      <c r="L42" s="170" t="inlineStr">
        <is>
          <t>*** VENDOR CHECK 13 Aug 2026: FORMAT MISMATCH: Costco has NO 64 oz OJ carton. Warehouse packs are Tropicana 46 oz x 3 (#1731084) or 96 oz x 2. Re-check the carton count against whichever pack he actually buys. ***</t>
        </is>
      </c>
    </row>
    <row r="43" ht="15.75" customHeight="1" s="171">
      <c r="A43" s="170" t="inlineStr">
        <is>
          <t>☐</t>
        </is>
      </c>
      <c r="B43" s="192" t="inlineStr">
        <is>
          <t>Pineapple juice — Dole 24 x 8 oz</t>
        </is>
      </c>
      <c r="C43" s="170" t="inlineStr">
        <is>
          <t>Daily Special</t>
        </is>
      </c>
      <c r="D43" s="197">
        <f>'Jug Recipes'!D24</f>
        <v/>
      </c>
      <c r="E43" s="170" t="inlineStr">
        <is>
          <t>packs (24 x 8 oz)</t>
        </is>
      </c>
      <c r="F43" s="235">
        <f>'Jug Recipes'!F24</f>
        <v/>
      </c>
      <c r="G43" s="170" t="inlineStr">
        <is>
          <t>Costco</t>
        </is>
      </c>
      <c r="H43" s="283" t="n">
        <v>1</v>
      </c>
      <c r="I43" s="286">
        <f>IF(AND($H43="",$J43=""),"· not ordered",IF($H43="","⚠ REVIEW",IF(N($H43)&gt;=N($D43),"✅ MET","⚠ SHORT "&amp;TEXT(N($D43)-N($H43),"0")&amp;" "&amp;$E43)))</f>
        <v/>
      </c>
      <c r="J43" s="170" t="inlineStr">
        <is>
          <t>1 pack = 24 x 8 oz = 192 oz. Thursday jug needs 94.9 oz — covered with 97 oz spare, which hands out cold.</t>
        </is>
      </c>
      <c r="K43" s="170" t="inlineStr">
        <is>
          <t>https://www.costco.com/p/-/dole-100-pineapple-juice-8-fl-oz-24-count/4000243671?langId=-1</t>
        </is>
      </c>
      <c r="L43" s="170" t="n"/>
    </row>
    <row r="44" ht="15.75" customHeight="1" s="171">
      <c r="A44" s="170" t="inlineStr">
        <is>
          <t>☐</t>
        </is>
      </c>
      <c r="B44" s="192" t="inlineStr">
        <is>
          <t>Limes (5lb bag)</t>
        </is>
      </c>
      <c r="C44" s="170" t="inlineStr">
        <is>
          <t>Garnish</t>
        </is>
      </c>
      <c r="D44" s="197" t="n">
        <v>1</v>
      </c>
      <c r="E44" s="170" t="inlineStr">
        <is>
          <t>bag</t>
        </is>
      </c>
      <c r="F44" s="235" t="n">
        <v>11</v>
      </c>
      <c r="G44" s="170" t="inlineStr">
        <is>
          <t>Costco</t>
        </is>
      </c>
      <c r="H44" s="283" t="n"/>
      <c r="I44" s="286">
        <f>IF(AND($H44="",$J44=""),"· not ordered",IF($H44="","⚠ REVIEW",IF(N($H44)&gt;=N($D44),"✅ MET","⚠ SHORT "&amp;TEXT(N($D44)-N($H44),"0")&amp;" "&amp;$E44)))</f>
        <v/>
      </c>
      <c r="J44" s="170" t="n"/>
      <c r="K44" s="170" t="n"/>
      <c r="L44" s="281" t="inlineStr">
        <is>
          <t>Cherry Limeade wedges + Mon fresca / Thu sunrise squeezes (Michelada &amp; Tang Dynasty limes are row 32)
*** VENDOR CHECK 13 Aug 2026: SIZE TRAP — COSTCO LIMES ARE 3 LB BAGS (#3923), NOT 5 LB. The 5 lb bag at Costco is LEMONS (#83345). Easy wrong-order. A full case (#335683) exists if you want real volume. ***</t>
        </is>
      </c>
    </row>
    <row r="45" ht="15.75" customHeight="1" s="171">
      <c r="A45" s="170" t="inlineStr">
        <is>
          <t>☐</t>
        </is>
      </c>
      <c r="B45" s="192" t="inlineStr">
        <is>
          <t>Ground cinnamon + rim sugar</t>
        </is>
      </c>
      <c r="C45" s="170" t="inlineStr">
        <is>
          <t>Garnish</t>
        </is>
      </c>
      <c r="D45" s="197" t="n">
        <v>1</v>
      </c>
      <c r="E45" s="170" t="inlineStr">
        <is>
          <t>set</t>
        </is>
      </c>
      <c r="F45" s="235" t="n">
        <v>6</v>
      </c>
      <c r="G45" s="170" t="inlineStr">
        <is>
          <t>Grocery (Reno)</t>
        </is>
      </c>
      <c r="H45" s="283" t="n"/>
      <c r="I45" s="286">
        <f>IF(AND($H45="",$J45=""),"· not ordered",IF($H45="","⚠ REVIEW",IF(N($H45)&gt;=N($D45),"✅ MET","⚠ SHORT "&amp;TEXT(N($D45)-N($H45),"0")&amp;" "&amp;$E45)))</f>
        <v/>
      </c>
      <c r="L45" s="170" t="inlineStr">
        <is>
          <t>Horchata dust + cider cinnamon-sugar rim
*** VENDOR CHECK 13 Aug 2026: Cinnamon is Costco #1124845 (Kirkland Organic Saigon, 10.7 oz). THERE IS NO RIMMING/SANDING SUGAR SKU AT COSTCO — substitute plain granulated (C&amp;H 10 lb or Kirkland Organic #901991) or pick the rim sugar up at the grocery. ***
[Buyer note carried over from the old scratch column: Christophe]
*** NOT AVAILABLE AT RENO COSTCO (checked 14 Aug 2026) — source moved to Grocery (Reno). ***</t>
        </is>
      </c>
    </row>
    <row r="46" ht="15" customHeight="1" s="171">
      <c r="A46" s="280" t="inlineStr">
        <is>
          <t>☐</t>
        </is>
      </c>
      <c r="B46" s="183" t="inlineStr">
        <is>
          <t>Grapefruit (paloma wheels)</t>
        </is>
      </c>
      <c r="C46" s="280" t="inlineStr">
        <is>
          <t>Garnish</t>
        </is>
      </c>
      <c r="D46" s="268" t="n">
        <v>10</v>
      </c>
      <c r="E46" s="280" t="inlineStr">
        <is>
          <t>each</t>
        </is>
      </c>
      <c r="F46" s="251" t="n">
        <v>12</v>
      </c>
      <c r="G46" s="282" t="inlineStr">
        <is>
          <t>Costco</t>
        </is>
      </c>
      <c r="H46" s="286" t="n"/>
      <c r="I46" s="286">
        <f>IF(AND($H46="",$J46=""),"· not ordered",IF($H46="","⚠ REVIEW",IF(N($H46)&gt;=N($D46),"✅ MET","⚠ SHORT "&amp;TEXT(N($D46)-N($H46),"0")&amp;" "&amp;$E46)))</f>
        <v/>
      </c>
      <c r="J46" s="170" t="n"/>
      <c r="L46" s="170" t="inlineStr">
        <is>
          <t>GARNISH FOR ONE DRINK NOW: wheels for the 80 straight sour ale pours (beer TBD). THE RADLER GARNISH WAS DROPPED 10 Aug 2026 — it is handed over as a half pour over ice with an optional Tajin rim and nothing cut, which takes 56 wedges off this line and brings it from 15 grapefruit to 10. One grapefruit gives ~8 garnishes, so 10 covers the 80 pours exactly with the bag rounding in your favour. MANUAL LINE — nothing derives it; dial it down further if you would rather not garnish every pour.</t>
        </is>
      </c>
    </row>
    <row r="47" ht="15" customHeight="1" s="171">
      <c r="A47" s="280" t="inlineStr">
        <is>
          <t>☐</t>
        </is>
      </c>
      <c r="B47" s="183" t="inlineStr">
        <is>
          <t>Apples &amp; pears (cider slices)</t>
        </is>
      </c>
      <c r="C47" s="280" t="inlineStr">
        <is>
          <t>Garnish</t>
        </is>
      </c>
      <c r="D47" s="268" t="n">
        <v>8</v>
      </c>
      <c r="E47" s="280" t="inlineStr">
        <is>
          <t>each</t>
        </is>
      </c>
      <c r="F47" s="251" t="n">
        <v>13</v>
      </c>
      <c r="G47" s="282" t="inlineStr">
        <is>
          <t>Costco</t>
        </is>
      </c>
      <c r="H47" s="286" t="n"/>
      <c r="I47" s="286">
        <f>IF(AND($H47="",$J47=""),"· not ordered",IF($H47="","⚠ REVIEW",IF(N($H47)&gt;=N($D47),"✅ MET","⚠ SHORT "&amp;TEXT(N($D47)-N($H47),"0")&amp;" "&amp;$E47)))</f>
        <v/>
      </c>
      <c r="J47" s="170" t="n"/>
      <c r="L47" s="281" t="inlineStr">
        <is>
          <t>Cider keg garnish. REPRICED: Cosmic Crisp 5 lb $7.79-9.69 and Bartlett pears 4 lb $4.99 — about $0.70 a fruit, but bag minimums mean ~$13 regardless of needing only 8.</t>
        </is>
      </c>
    </row>
    <row r="48" ht="15" customHeight="1" s="171">
      <c r="A48" s="280" t="inlineStr">
        <is>
          <t>☐</t>
        </is>
      </c>
      <c r="B48" s="183" t="inlineStr">
        <is>
          <t>Limes, whole (fresh juice) — Michelada &amp; Tang Dynasty</t>
        </is>
      </c>
      <c r="C48" s="280" t="inlineStr">
        <is>
          <t>Built drink</t>
        </is>
      </c>
      <c r="D48" s="268">
        <f>'Other Consumables'!D40</f>
        <v/>
      </c>
      <c r="E48" s="280" t="inlineStr">
        <is>
          <t>each</t>
        </is>
      </c>
      <c r="F48" s="251">
        <f>D48*Assumptions!$B$112</f>
        <v/>
      </c>
      <c r="G48" s="282" t="inlineStr">
        <is>
          <t>Costco</t>
        </is>
      </c>
      <c r="H48" s="286" t="n"/>
      <c r="I48" s="286">
        <f>IF(AND($H48="",$J48=""),"· not ordered",IF($H48="","⚠ REVIEW",IF(N($H48)&gt;=N($D48),"✅ MET","⚠ SHORT "&amp;TEXT(N($D48)-N($H48),"0")&amp;" "&amp;$E48)))</f>
        <v/>
      </c>
      <c r="J48" s="170" t="n"/>
      <c r="L48" s="170" t="inlineStr">
        <is>
          <t>0.5oz per Michelada (Recipes I4) + 0.5oz per Tang Dynasty (Assumptions B113)</t>
        </is>
      </c>
    </row>
    <row r="49" ht="15.75" customHeight="1" s="171">
      <c r="A49" s="280" t="inlineStr">
        <is>
          <t>☐</t>
        </is>
      </c>
      <c r="B49" s="183" t="inlineStr">
        <is>
          <t>Hot sauce (12oz bottles) — Michelada</t>
        </is>
      </c>
      <c r="C49" s="280" t="inlineStr">
        <is>
          <t>Built drink</t>
        </is>
      </c>
      <c r="D49" s="268">
        <f>'Other Consumables'!D41</f>
        <v/>
      </c>
      <c r="E49" s="280" t="inlineStr">
        <is>
          <t>bottles</t>
        </is>
      </c>
      <c r="F49" s="251">
        <f>D49*Assumptions!$B$107</f>
        <v/>
      </c>
      <c r="G49" s="282" t="inlineStr">
        <is>
          <t>Costco</t>
        </is>
      </c>
      <c r="H49" s="283" t="n"/>
      <c r="I49" s="286">
        <f>IF(AND($H49="",$J49=""),"· not ordered",IF($H49="","⚠ REVIEW",IF(N($H49)&gt;=N($D49),"✅ MET","⚠ SHORT "&amp;TEXT(N($D49)-N($H49),"0")&amp;" "&amp;$E49)))</f>
        <v/>
      </c>
      <c r="J49" s="170" t="n"/>
      <c r="L49" s="170" t="inlineStr">
        <is>
          <t>Michelada build — 0.25oz per serving (Assumptions B105).
*** CATEGORY REPAIRED 14 Aug 2026: a Costco URL had been pasted over the Category cell, so this row fell out of every Totals by Type rollup and left the reconciliation check on Totals by Type D37 reading -$1.75 instead of $0. Same paste accident the Purchase List header note (row 2) records for an earlier row. Parked URL: https://www.costco.com/p/-/clamato-tomato-cocktail-original-64-fl-oz-2-count/100410284?langId=-1 ***
*** RETIRED 18 Aug 2026 — reads $0 on purpose. *** Michelada dropped hot sauce when it moved to Tres Agaves Bloody Mary Mix (already spiced) — see Assumptions B105 and Dirty Soda - Built Drinks row 4. Do not buy.</t>
        </is>
      </c>
    </row>
    <row r="50" ht="15.75" customHeight="1" s="171">
      <c r="A50" s="170" t="inlineStr">
        <is>
          <t>☐</t>
        </is>
      </c>
      <c r="B50" s="170" t="inlineStr">
        <is>
          <t>Orange juice (64oz cartons) — Catboy Café build</t>
        </is>
      </c>
      <c r="C50" s="170" t="inlineStr">
        <is>
          <t>Built drink</t>
        </is>
      </c>
      <c r="D50" s="170">
        <f>'Other Consumables'!D43</f>
        <v/>
      </c>
      <c r="E50" s="170" t="inlineStr">
        <is>
          <t>cartons</t>
        </is>
      </c>
      <c r="F50" s="170">
        <f>D50*Assumptions!$B$70</f>
        <v/>
      </c>
      <c r="G50" s="294" t="inlineStr">
        <is>
          <t>Costco</t>
        </is>
      </c>
      <c r="H50" s="286" t="n"/>
      <c r="I50" s="286">
        <f>IF(AND($H50="",$J50=""),"· not ordered",IF($H50="","⚠ REVIEW",IF(N($H50)&gt;=N($D50),"✅ MET","⚠ SHORT "&amp;TEXT(N($D50)-N($H50),"0")&amp;" "&amp;$E50)))</f>
        <v/>
      </c>
      <c r="J50" s="170" t="n"/>
      <c r="L50" s="281" t="inlineStr">
        <is>
          <t>*** RETIRED 21 Aug 2026 — reads $0 on purpose. *** Sakura Kisses dropped the OJ pour for 0.5oz orange syrup instead (Dirty Soda - Built Drinks row 13); orange syrup is already covered by the Sakura + orange syrup line (row 87). Formula-driven off the recipe text match, same pattern as the retired Hot Sauce line (row 49) — do not buy.</t>
        </is>
      </c>
    </row>
    <row r="51" ht="15.75" customHeight="1" s="171">
      <c r="A51" s="170" t="inlineStr">
        <is>
          <t>☐</t>
        </is>
      </c>
      <c r="B51" s="170" t="inlineStr">
        <is>
          <t>Cucumbers, whole — garnish &amp; mint-cucumber cubes (optional)</t>
        </is>
      </c>
      <c r="C51" s="170" t="inlineStr">
        <is>
          <t>Fresh produce</t>
        </is>
      </c>
      <c r="D51" s="170">
        <f>'Other Consumables'!D44</f>
        <v/>
      </c>
      <c r="E51" s="170" t="inlineStr">
        <is>
          <t>each</t>
        </is>
      </c>
      <c r="F51" s="170">
        <f>D51*Assumptions!$B$123</f>
        <v/>
      </c>
      <c r="G51" s="294" t="inlineStr">
        <is>
          <t>Costco</t>
        </is>
      </c>
      <c r="H51" s="286" t="n"/>
      <c r="I51" s="286">
        <f>IF(AND($H51="",$J51=""),"· not ordered",IF($H51="","⚠ REVIEW",IF(N($H51)&gt;=N($D51),"✅ MET","⚠ SHORT "&amp;TEXT(N($D51)-N($H51),"0")&amp;" "&amp;$E51)))</f>
        <v/>
      </c>
      <c r="J51" s="170" t="n"/>
      <c r="L51" s="170" t="inlineStr">
        <is>
          <t>OPTIONAL, ZERO BY DEFAULT. Fuzz Test contains no cucumber. Set a count on Assumptions B215 if the mint-cucumber cubes happen; leave it at 0 and this line disappears from the shop.</t>
        </is>
      </c>
    </row>
    <row r="52" ht="15.75" customHeight="1" s="171">
      <c r="A52" s="170" t="inlineStr">
        <is>
          <t>☐</t>
        </is>
      </c>
      <c r="B52" s="170" t="inlineStr">
        <is>
          <t xml:space="preserve">Limes, whole (fresh juice) </t>
        </is>
      </c>
      <c r="C52" s="170" t="inlineStr">
        <is>
          <t>Fresh produce</t>
        </is>
      </c>
      <c r="D52" s="170">
        <f>'Other Consumables'!D45</f>
        <v/>
      </c>
      <c r="E52" s="170" t="inlineStr">
        <is>
          <t>each</t>
        </is>
      </c>
      <c r="F52" s="170">
        <f>D52*Assumptions!$B$112</f>
        <v/>
      </c>
      <c r="G52" s="294" t="inlineStr">
        <is>
          <t>Costco</t>
        </is>
      </c>
      <c r="H52" s="286" t="n"/>
      <c r="I52" s="286">
        <f>IF(AND($H52="",$J52=""),"· not ordered",IF($H52="","⚠ REVIEW",IF(N($H52)&gt;=N($D52),"✅ MET","⚠ SHORT "&amp;TEXT(N($D52)-N($H52),"0")&amp;" "&amp;$E52)))</f>
        <v/>
      </c>
      <c r="J52" s="170" t="n"/>
      <c r="L52" s="170" t="inlineStr">
        <is>
          <t>Fuzz Test 0.5oz (built drinks row 12) + Shirley Temple of Doom 0.5oz (row 17) + Shirley Mule 0.5oz (Assumptions B154)</t>
        </is>
      </c>
    </row>
    <row r="53" ht="15.75" customHeight="1" s="171">
      <c r="A53" s="170" t="inlineStr">
        <is>
          <t>☐</t>
        </is>
      </c>
      <c r="B53" s="170" t="inlineStr">
        <is>
          <t>Apple cider vinegar (32oz) — SCOBY Mule</t>
        </is>
      </c>
      <c r="C53" s="170" t="inlineStr">
        <is>
          <t>Built drink</t>
        </is>
      </c>
      <c r="D53" s="170">
        <f>'Other Consumables'!D46</f>
        <v/>
      </c>
      <c r="E53" s="170" t="inlineStr">
        <is>
          <t>bottles</t>
        </is>
      </c>
      <c r="F53" s="170">
        <f>D53*Assumptions!$B$130</f>
        <v/>
      </c>
      <c r="G53" s="294" t="inlineStr">
        <is>
          <t>Costco</t>
        </is>
      </c>
      <c r="H53" s="286" t="n"/>
      <c r="I53" s="286">
        <f>IF(AND($H53="",$J53=""),"· not ordered",IF($H53="","⚠ REVIEW",IF(N($H53)&gt;=N($D53),"✅ MET","⚠ SHORT "&amp;TEXT(N($D53)-N($H53),"0")&amp;" "&amp;$E53)))</f>
        <v/>
      </c>
      <c r="J53" s="170" t="n"/>
      <c r="L53" s="170" t="inlineStr">
        <is>
          <t>0.25oz per serving (Assumptions B128)</t>
        </is>
      </c>
    </row>
    <row r="54" ht="15.75" customHeight="1" s="171">
      <c r="A54" s="170" t="inlineStr">
        <is>
          <t>☐</t>
        </is>
      </c>
      <c r="B54" s="170" t="inlineStr">
        <is>
          <t>Agave syrup (36oz) — SCOBY Mule</t>
        </is>
      </c>
      <c r="C54" s="170" t="inlineStr">
        <is>
          <t>Built drink</t>
        </is>
      </c>
      <c r="D54" s="170">
        <f>'Other Consumables'!D47</f>
        <v/>
      </c>
      <c r="E54" s="170" t="inlineStr">
        <is>
          <t>bottles</t>
        </is>
      </c>
      <c r="F54" s="170">
        <f>D54*Assumptions!$B$133</f>
        <v/>
      </c>
      <c r="G54" s="294" t="inlineStr">
        <is>
          <t>Costco</t>
        </is>
      </c>
      <c r="H54" s="286" t="n">
        <v>1</v>
      </c>
      <c r="I54" s="286">
        <f>IF(AND($H54="",$J54=""),"· not ordered",IF($H54="","⚠ REVIEW",IF(N($H54)&gt;=N($D54),"✅ MET","⚠ SHORT "&amp;TEXT(N($D54)-N($H54),"0")&amp;" "&amp;$E54)))</f>
        <v/>
      </c>
      <c r="J54" s="170" t="inlineStr">
        <is>
          <t>From the same 4 bottles bought on row 25.</t>
        </is>
      </c>
      <c r="K54" s="170" t="inlineStr">
        <is>
          <t>https://www.costco.com/p/-/kirkland-signature-organic-blue-agave-36-oz-2-count/100381407?langId=-1</t>
        </is>
      </c>
      <c r="L54" s="281" t="inlineStr">
        <is>
          <t>0.25oz per serving (Assumptions B131)</t>
        </is>
      </c>
    </row>
    <row r="55" ht="15.75" customHeight="1" s="171">
      <c r="A55" s="170" t="inlineStr">
        <is>
          <t>☐</t>
        </is>
      </c>
      <c r="B55" s="170" t="inlineStr">
        <is>
          <t>Celsius energy drinks</t>
        </is>
      </c>
      <c r="C55" s="170" t="inlineStr">
        <is>
          <t>Camp bulk</t>
        </is>
      </c>
      <c r="D55" s="197">
        <f>'Camp Drinks'!B17</f>
        <v/>
      </c>
      <c r="E55" s="170" t="inlineStr">
        <is>
          <t>cans</t>
        </is>
      </c>
      <c r="F55" s="227">
        <f>'Camp Drinks'!H17</f>
        <v/>
      </c>
      <c r="G55" s="294" t="inlineStr">
        <is>
          <t>Costco</t>
        </is>
      </c>
      <c r="H55" s="286" t="n">
        <v>72</v>
      </c>
      <c r="I55" s="286">
        <f>IF(AND($H55="",$J55=""),"· not ordered",IF($H55="","⚠ REVIEW",IF(N($H55)&gt;=N($D55),"✅ MET","⚠ SHORT "&amp;TEXT(N($D55)-N($H55),"0")&amp;" "&amp;$E55)))</f>
        <v/>
      </c>
      <c r="J55" s="170" t="inlineStr">
        <is>
          <t>2 x 18 Vibe variety + 2 x 18 Core variety = 72 cans. Need 48 — over by 24.</t>
        </is>
      </c>
      <c r="K55" s="170" t="inlineStr">
        <is>
          <t>https://www.costco.com/p/-/celsius-vibe-energy-drink-variety-pack-12-fl-oz-18-count/4000448713?langId=-1
https://www.costco.com/p/-/celsius-sparkling-energy-drink-core-variety-pack-12-fl-oz-18-count/4000387897?langId=-1</t>
        </is>
      </c>
      <c r="L55" s="281" t="inlineStr">
        <is>
          <t>Camper stock, not bar service. Qty is TOTAL CANS — buy whatever pack size the shop has.
[Buyer note carried over from the old scratch column: Christophe]</t>
        </is>
      </c>
    </row>
    <row r="56" ht="15.75" customHeight="1" s="171">
      <c r="A56" s="170" t="inlineStr">
        <is>
          <t>☐</t>
        </is>
      </c>
      <c r="B56" s="170" t="inlineStr">
        <is>
          <t>White Claw or equivalent hard seltzer</t>
        </is>
      </c>
      <c r="C56" s="170" t="inlineStr">
        <is>
          <t>Camp bulk</t>
        </is>
      </c>
      <c r="D56" s="197">
        <f>'Camp Drinks'!B18</f>
        <v/>
      </c>
      <c r="E56" s="170" t="inlineStr">
        <is>
          <t>cans</t>
        </is>
      </c>
      <c r="F56" s="227">
        <f>'Camp Drinks'!H18</f>
        <v/>
      </c>
      <c r="G56" s="294" t="inlineStr">
        <is>
          <t>Costco (Reno) — ordered, plus bonus</t>
        </is>
      </c>
      <c r="H56" s="286" t="n">
        <v>126</v>
      </c>
      <c r="I56" s="286">
        <f>IF(AND($H56="",$J56=""),"· not ordered",IF($H56="","⚠ REVIEW",IF(N($H56)&gt;=N($D56),"✅ MET","⚠ SHORT "&amp;TEXT(N($D56)-N($H56),"0")&amp;" "&amp;$E56)))</f>
        <v/>
      </c>
      <c r="J56" s="170" t="inlineStr">
        <is>
          <t>3x White Claw 24-pack (#1359921, 72 cans) + 3x High Noon 18-pack (#1745275, 54 cans) = 126 cans</t>
        </is>
      </c>
      <c r="L56" s="281" t="inlineStr">
        <is>
          <t>Camper stock, not bar service. Already alcoholic; not a bar-service line. Qty is TOTAL CANS — buy whatever pack size the shop has.
*** RENO COSTCO ORDER CONFIRMED 18 Aug 2026: 72 White Claw + 54 High Noon = 126 cans vs the 120-can need — clean MET with 6 cans to spare. High Noon is vodka-based, not malt seltzer, but counted as an 'equivalent' per this row's own spec. PLUS A BONUS NOT COUNTED IN THE 120-CAN NEED: 2x Surfside Lemonade 18-pack (#1957194, 36 cans) added on top for variety — this is extra beyond what the model calls for (it wasn't part of any recipe), so it's tracked here as camper/bar bonus stock rather than folded into the Ordered figure. Est. cost: White Claw $69-$84, High Noon ~$90, Surfside $60-$74 (all three combined ~$219-$248). ***</t>
        </is>
      </c>
    </row>
    <row r="57" ht="15.75" customHeight="1" s="171">
      <c r="A57" s="170" t="inlineStr">
        <is>
          <t>☐</t>
        </is>
      </c>
      <c r="B57" s="170" t="inlineStr">
        <is>
          <t>Spindrift sparkling water</t>
        </is>
      </c>
      <c r="C57" s="170" t="inlineStr">
        <is>
          <t>Camp bulk</t>
        </is>
      </c>
      <c r="D57" s="233">
        <f>'Camp Drinks'!B19</f>
        <v/>
      </c>
      <c r="E57" s="170" t="inlineStr">
        <is>
          <t>cans</t>
        </is>
      </c>
      <c r="F57" s="170">
        <f>'Camp Drinks'!H19</f>
        <v/>
      </c>
      <c r="G57" s="294" t="inlineStr">
        <is>
          <t>Costco</t>
        </is>
      </c>
      <c r="H57" s="286" t="n">
        <v>90</v>
      </c>
      <c r="I57" s="286">
        <f>IF(AND($H57="",$J57=""),"· not ordered",IF($H57="","⚠ REVIEW",IF(N($H57)&gt;=N($D57),"✅ MET","⚠ SHORT "&amp;TEXT(N($D57)-N($H57),"0")&amp;" "&amp;$E57)))</f>
        <v/>
      </c>
      <c r="J57" s="170" t="inlineStr">
        <is>
          <t>*** SPINDRIFT IS LISTED TWICE IN THE ORDER, SAME URL — "3 x (30 pack)" and "3 of the normal spindrift pack". Entered as 3 packs = 90 cans. IF IT IS REALLY 6 PACKS (180 cans) THIS IS A LARGE OVER-BUY. CONFIRM. ***</t>
        </is>
      </c>
      <c r="K57" s="170" t="inlineStr">
        <is>
          <t>https://www.costco.com/p/-/spindrift-sparkling-water-12-fl-oz-30-count/4000410048?langId=-1</t>
        </is>
      </c>
      <c r="L57" s="170" t="inlineStr">
        <is>
          <t>Camper stock, not bar service. Qty is TOTAL CANS — buy whatever pack size the shop has. MOVED ONTO THE MAIN MENU 11 Aug 2026 — Spindrift is in the LESS SWEET block, not the camper secret menu. It is sparkling water with a splash of real juice and it is the single most obvious answer to 'have you got anything not sweet'. Still bought as Camp bulk; if it starts disappearing at bar speed, raise the count on Assumptions B189.</t>
        </is>
      </c>
    </row>
    <row r="58" ht="15.75" customHeight="1" s="171">
      <c r="A58" s="204" t="inlineStr">
        <is>
          <t>☐</t>
        </is>
      </c>
      <c r="B58" s="288" t="inlineStr">
        <is>
          <t>Coffee creamer</t>
        </is>
      </c>
      <c r="C58" s="204" t="inlineStr">
        <is>
          <t>Camp bulk</t>
        </is>
      </c>
      <c r="D58" s="289">
        <f>'Camp Drinks'!E27</f>
        <v/>
      </c>
      <c r="E58" s="204" t="inlineStr">
        <is>
          <t>bottles</t>
        </is>
      </c>
      <c r="F58" s="241">
        <f>'Camp Drinks'!H27</f>
        <v/>
      </c>
      <c r="G58" s="290" t="inlineStr">
        <is>
          <t>Grocery (Reno)</t>
        </is>
      </c>
      <c r="H58" s="291" t="n">
        <v>4</v>
      </c>
      <c r="I58" s="286">
        <f>IF(AND($H58="",$J58=""),"· not ordered",IF($H58="","⚠ REVIEW",IF(N($H58)&gt;=N($D58),"✅ MET","⚠ SHORT "&amp;TEXT(N($D58)-N($H58),"0")&amp;" "&amp;$E58)))</f>
        <v/>
      </c>
      <c r="J58" s="170" t="n"/>
      <c r="K58" s="170" t="inlineStr">
        <is>
          <t>https://www.costco.com/p/-/starbucks-caramel-macchiato-creamer-58-fl-oz/100750271?langId=-1</t>
        </is>
      </c>
      <c r="L58" s="170" t="inlineStr">
        <is>
          <t>RESOLVED 18 Aug 2026 — this line is now DAIRY ONLY (Assumptions B204 rescoped from 12 to 4), matching what was actually bought: 4 x 58 oz Starbucks Caramel Macchiato. The non-dairy half of the old '4 dairy + 8 non-dairy' spec, previously an unfilled gap (nothing non-dairy had been sourced), is now covered by Rice Dream Horchata on row 46 instead — dairy-free, vegan, and it does double duty as the Friday jug's horchata base. Camper stock; also the non-coconut cream option in the dirty sodas.</t>
        </is>
      </c>
    </row>
    <row r="59" ht="15" customHeight="1" s="171">
      <c r="A59" s="295" t="inlineStr">
        <is>
          <t>☐</t>
        </is>
      </c>
      <c r="B59" s="296" t="inlineStr">
        <is>
          <t>Lemon juice, bottled (48oz) — Sat &amp; Sun peach-tea jugs</t>
        </is>
      </c>
      <c r="C59" s="204" t="inlineStr">
        <is>
          <t>Daily Special</t>
        </is>
      </c>
      <c r="D59" s="289">
        <f>'Jug Recipes'!D32</f>
        <v/>
      </c>
      <c r="E59" s="204" t="inlineStr">
        <is>
          <t>bottles</t>
        </is>
      </c>
      <c r="F59" s="297">
        <f>'Jug Recipes'!F32</f>
        <v/>
      </c>
      <c r="G59" s="290" t="inlineStr">
        <is>
          <t>Costco</t>
        </is>
      </c>
      <c r="H59" s="286" t="n">
        <v>2</v>
      </c>
      <c r="I59" s="286">
        <f>IF(AND($H59="",$J59=""),"· not ordered",IF($H59="","⚠ REVIEW",IF(N($H59)&gt;=N($D59),"✅ MET","⚠ SHORT "&amp;TEXT(N($D59)-N($H59),"0")&amp;" "&amp;$E59)))</f>
        <v/>
      </c>
      <c r="J59" s="170" t="inlineStr">
        <is>
          <t>1 pair = 2 x 48 oz ReaLemon = 96 oz. Requirement re-rounded to 1 bottle once Assumptions B227 went to 48, so this is DOUBLE what the jugs need — the spare backs the fresh/bottled bartender choice on the main instruction card.</t>
        </is>
      </c>
      <c r="K59" s="170" t="inlineStr">
        <is>
          <t>https://www.costco.com/p/-/realemon-lemon-juice-48-fl-oz-2-count/100381476?langId=-1</t>
        </is>
      </c>
      <c r="L59" s="170" t="inlineStr">
        <is>
          <t>THE BOTTLED HALF OF THE LEMON SPLIT, added 8 Aug 2026. The Saturday Sleep Mode and closing Sunday Graceful Shutdown jugs take 16.5 oz of lemon each — 33 oz, i.e. about 25 lemons squeezed by hand into two batch jugs where the peach syrup and the tea bury the difference. Bottled instead. The per-drink squeezes stay fresh on row 83. This is the same fresh/bottled split the model already runs for lime: bottled in the jugs (row 53), fresh in the built drinks (rows 32 and 36). PRICE: BevMo $4.29 / 32 oz = $0.134 per oz, against $0.193 per oz for fresh lemons — cheaper AND no squeezing. The 15% buffer rounds this to 2 bottles; ONE bottle covers the un-buffered 33 oz almost exactly if you would rather carry one and let the lemons absorb the slack, and a 48 oz format (what the bottled lime is) makes it 1 bottle outright — set Assumptions B227/B228.
*** VENDOR CHECK 13 Aug 2026: FORMAT MISMATCH: Costco ReaLemon is 48 oz x 2 (#815248), not 32 oz. One 48 oz bottle covers the 33 oz requirement outright — see the note above about dropping to a single bottle. ***</t>
        </is>
      </c>
    </row>
    <row r="60" ht="15.75" customHeight="1" s="171">
      <c r="A60" s="295" t="inlineStr">
        <is>
          <t>☐</t>
        </is>
      </c>
      <c r="B60" s="296" t="inlineStr">
        <is>
          <t>Mountain Dew — camper stock</t>
        </is>
      </c>
      <c r="C60" s="204" t="inlineStr">
        <is>
          <t>Camp bulk</t>
        </is>
      </c>
      <c r="D60" s="289">
        <f>'Camp Drinks'!B21</f>
        <v/>
      </c>
      <c r="E60" s="204" t="inlineStr">
        <is>
          <t>cans</t>
        </is>
      </c>
      <c r="F60" s="297">
        <f>'Camp Drinks'!H21</f>
        <v/>
      </c>
      <c r="G60" s="290" t="inlineStr">
        <is>
          <t>Costco</t>
        </is>
      </c>
      <c r="H60" s="286" t="n"/>
      <c r="I60" s="286">
        <f>IF(AND($H60="",$J60=""),"· not ordered",IF($H60="","⚠ REVIEW",IF(N($H60)&gt;=N($D60),"✅ MET","⚠ SHORT "&amp;TEXT(N($D60)-N($H60),"0")&amp;" "&amp;$E60)))</f>
        <v/>
      </c>
      <c r="J60" s="170" t="n"/>
      <c r="L60" s="170" t="inlineStr">
        <is>
          <t>Camper stock, added 11 Aug 2026 when SCOBY-Dew was retired. THE ONLY MOUNTAIN DEW ON THE LIST — the old base-soda Dew line (sized entirely by the retired SCOBY-Dew build) has been removed outright rather than kept as a permanent zero. The 'ask if they want it dirty' modifier on the kombucha builds pours from these cans, so if it gets popular this is the line to raise (Assumptions B258) rather than quietly drinking the campers' supply. Qty is TOTAL CANS — buy whatever pack size the shop has.</t>
        </is>
      </c>
    </row>
    <row r="61" ht="15.75" customHeight="1" s="171">
      <c r="A61" s="295" t="inlineStr">
        <is>
          <t>☐</t>
        </is>
      </c>
      <c r="B61" s="296" t="inlineStr">
        <is>
          <t>Beverage dispensers, 10 L (with spigot)</t>
        </is>
      </c>
      <c r="C61" s="204" t="inlineStr">
        <is>
          <t>Hardware</t>
        </is>
      </c>
      <c r="D61" s="289" t="n">
        <v>3</v>
      </c>
      <c r="E61" s="204" t="inlineStr">
        <is>
          <t>each</t>
        </is>
      </c>
      <c r="F61" s="297">
        <f>D61*17.5</f>
        <v/>
      </c>
      <c r="G61" s="290" t="inlineStr">
        <is>
          <t>Owned (1, already bought) + Reno Walmart (2 more, MAYBE — check camp stock first)</t>
        </is>
      </c>
      <c r="H61" s="286" t="n">
        <v>1</v>
      </c>
      <c r="I61" s="286">
        <f>IF(AND($H61="",$J61=""),"· not ordered",IF($H61="","⚠ REVIEW",IF(N($H61)&gt;=N($D61),"✅ MET","⚠ SHORT "&amp;TEXT(N($D61)-N($H61),"0")&amp;" "&amp;$E61)))</f>
        <v/>
      </c>
      <c r="J61" s="170" t="inlineStr">
        <is>
          <t>1x dispenser bought outright 19 Aug 2026.</t>
        </is>
      </c>
      <c r="L61" s="170" t="inlineStr">
        <is>
          <t>REPRICED 2 Aug 2026: $17.49 ea — Choice 3-gallon round beverage dispenser basis (superseded by the VEVOR/Julymoda picks from the earlier cart, now moot since that order failed). THREE units: two for the nightly jug — Wednesday's 3-jug Red Flag needs 20 L live on the bar at once — plus a THIRD dedicated to the camp teas.
STATUS 19 Aug 2026: 1 bought outright. The other 2 are a MAYBE, not a firm plan — you're not sure if camp already owns dispensers, so don't buy blind; check camp inventory first, and only then pick up the remaining 2 at Reno Walmart if they're actually still needed.</t>
        </is>
      </c>
    </row>
    <row r="62" ht="15.75" customHeight="1" s="171">
      <c r="A62" s="295" t="inlineStr">
        <is>
          <t>☐</t>
        </is>
      </c>
      <c r="B62" s="296" t="inlineStr">
        <is>
          <t>Aloe vera drinks (Green Tea Refresher)</t>
        </is>
      </c>
      <c r="C62" s="204" t="inlineStr">
        <is>
          <t>Beverage add-on</t>
        </is>
      </c>
      <c r="D62" s="289">
        <f>'Beverage Lines'!C9</f>
        <v/>
      </c>
      <c r="E62" s="204" t="inlineStr">
        <is>
          <t>servings</t>
        </is>
      </c>
      <c r="F62" s="297">
        <f>ROUND(D62*0.6,0)</f>
        <v/>
      </c>
      <c r="G62" s="290" t="inlineStr">
        <is>
          <t>Asian Grocery</t>
        </is>
      </c>
      <c r="H62" s="286" t="n"/>
      <c r="I62" s="286">
        <f>IF(AND($H62="",$J62=""),"· not ordered",IF($H62="","⚠ REVIEW",IF(N($H62)&gt;=N($D62),"✅ MET","⚠ SHORT "&amp;TEXT(N($D62)-N($H62),"0")&amp;" "&amp;$E62)))</f>
        <v/>
      </c>
      <c r="J62" s="170" t="n"/>
      <c r="L62" s="281" t="n"/>
    </row>
    <row r="63" ht="15.75" customHeight="1" s="171">
      <c r="A63" s="295" t="inlineStr">
        <is>
          <t>☐</t>
        </is>
      </c>
      <c r="B63" s="296" t="inlineStr">
        <is>
          <t>Lychee (canned) + mint/cucumber/yuzu</t>
        </is>
      </c>
      <c r="C63" s="204" t="inlineStr">
        <is>
          <t>Beverage add-on</t>
        </is>
      </c>
      <c r="D63" s="289">
        <f>'Beverage Lines'!B9</f>
        <v/>
      </c>
      <c r="E63" s="204" t="inlineStr">
        <is>
          <t>keg-set</t>
        </is>
      </c>
      <c r="F63" s="297">
        <f>D63*Assumptions!$B$28</f>
        <v/>
      </c>
      <c r="G63" s="290" t="inlineStr">
        <is>
          <t>Asian Grocery</t>
        </is>
      </c>
      <c r="H63" s="286" t="n"/>
      <c r="I63" s="286">
        <f>IF(AND($H63="",$J63=""),"· not ordered",IF($H63="","⚠ REVIEW",IF(N($H63)&gt;=N($D63),"✅ MET","⚠ SHORT "&amp;TEXT(N($D63)-N($H63),"0")&amp;" "&amp;$E63)))</f>
        <v/>
      </c>
      <c r="L63" s="170" t="inlineStr">
        <is>
          <t xml:space="preserve">CLAUDE Remove this line; decided to not use </t>
        </is>
      </c>
    </row>
    <row r="64" ht="15.75" customHeight="1" s="171">
      <c r="A64" s="280" t="inlineStr">
        <is>
          <t>☐</t>
        </is>
      </c>
      <c r="B64" s="183" t="inlineStr">
        <is>
          <t>Sour ale — 6-packs (straight pours only)</t>
        </is>
      </c>
      <c r="C64" s="280" t="inlineStr">
        <is>
          <t>Beverage</t>
        </is>
      </c>
      <c r="D64" s="268">
        <f>'Packaged Sizing'!B42</f>
        <v/>
      </c>
      <c r="E64" s="280" t="inlineStr">
        <is>
          <t>6-packs</t>
        </is>
      </c>
      <c r="F64" s="251">
        <f>'Packaged Sizing'!D42</f>
        <v/>
      </c>
      <c r="G64" s="282" t="inlineStr">
        <is>
          <t>Reno BevMo — TBD (no Costco match)</t>
        </is>
      </c>
      <c r="H64" s="283" t="n"/>
      <c r="I64" s="286">
        <f>IF(AND($H64="",$J64=""),"· not ordered",IF($H64="","⚠ REVIEW",IF(N($H64)&gt;=N($D64),"✅ MET","⚠ SHORT "&amp;TEXT(N($D64)-N($H64),"0")&amp;" "&amp;$E64)))</f>
        <v/>
      </c>
      <c r="J64" s="170" t="inlineStr">
        <is>
          <t>PLANNED: no matching SKU on the Costco Reno availability list (checked 18 Aug 2026 — every packaged beer/cider/seltzer item on that list was style-checked; none is a true sour/kettle-sour ale). Source separately from Reno BevMo or a Reno-area brewery/bottle shop.</t>
        </is>
      </c>
      <c r="L64" s="281" t="inlineStr">
        <is>
          <t>100% straight now — the built shandy is gone. A sour ale is the wrong shandy base: it is already light and acidic, so lemonade muddles it. The shandy slot is pre-made Stiegl Grapefruit Radler on the Bar Add-Ons tab (rolls up through Purchase List row 85). SPECIFIC BEER TBD — $13/6-pack is a placeholder on 'Packaged Prices' row 9; reprice once the beer is chosen.
*** RENO COSTCO RUN CHECKED 18 Aug 2026 — NO MATCH FOUND. Target ~1008 oz buffered = ~84 x 12oz cans = 14 six-packs of a true sour ale, same volume as the hard cider line. This whole line moves to Reno BevMo. ***</t>
        </is>
      </c>
    </row>
    <row r="65" ht="15.75" customHeight="1" s="171">
      <c r="A65" s="280" t="inlineStr">
        <is>
          <t>☐</t>
        </is>
      </c>
      <c r="B65" s="183" t="inlineStr">
        <is>
          <t>Blonde ale — 6-packs (12 oz cans)</t>
        </is>
      </c>
      <c r="C65" s="280" t="inlineStr">
        <is>
          <t>Beverage</t>
        </is>
      </c>
      <c r="D65" s="268">
        <f>'Packaged Sizing'!B44</f>
        <v/>
      </c>
      <c r="E65" s="280" t="inlineStr">
        <is>
          <t>6-packs</t>
        </is>
      </c>
      <c r="F65" s="251">
        <f>'Packaged Sizing'!D44</f>
        <v/>
      </c>
      <c r="G65" s="282" t="inlineStr">
        <is>
          <t>Costco (Reno) — ordered</t>
        </is>
      </c>
      <c r="H65" s="286" t="n">
        <v>8</v>
      </c>
      <c r="I65" s="286">
        <f>IF(AND($H65="",$J65=""),"· not ordered",IF($H65="","⚠ REVIEW",IF(N($H65)&gt;=N($D65),"✅ MET","⚠ SHORT "&amp;TEXT(N($D65)-N($H65),"0")&amp;" "&amp;$E65)))</f>
        <v/>
      </c>
      <c r="J65" s="170" t="inlineStr">
        <is>
          <t>2x Firestone Walker 805 Blonde Ale, 24-pack (#687160, 12 oz BOTTLES) = 576 oz / 48 bottles</t>
        </is>
      </c>
      <c r="K65" s="170" t="n"/>
      <c r="L65" s="281" t="inlineStr">
        <is>
          <t>WAS: blonde ale half keg, $117.
*** RENO COSTCO ORDER CONFIRMED 18 Aug 2026: 2x Firestone 805 24-packs. 48 bottles vs the 42-can-equivalent target — clean MET with a spare 6-pack-equivalent. GLASS FLAG: this SKU is bottles, not cans — a canned 805 (item #977796) reportedly exists at some Costco locations but wasn't on this availability sheet; ask in-store if glass is a concern for playa. Est. cost: $52-$62. ***</t>
        </is>
      </c>
    </row>
    <row r="66" ht="15.75" customHeight="1" s="171">
      <c r="A66" s="170" t="inlineStr">
        <is>
          <t>☐</t>
        </is>
      </c>
      <c r="B66" s="192" t="inlineStr">
        <is>
          <t>Soda water / sparkling water</t>
        </is>
      </c>
      <c r="C66" s="170" t="inlineStr">
        <is>
          <t>Soda</t>
        </is>
      </c>
      <c r="D66" s="197">
        <f>'Other Consumables'!D20</f>
        <v/>
      </c>
      <c r="E66" s="170" t="inlineStr">
        <is>
          <t>1 L bottles</t>
        </is>
      </c>
      <c r="F66" s="235">
        <f>D66*Assumptions!$B$236</f>
        <v/>
      </c>
      <c r="G66" s="170" t="inlineStr">
        <is>
          <t>Grocery (Reno)</t>
        </is>
      </c>
      <c r="H66" s="283" t="n"/>
      <c r="I66" s="286">
        <f>IF(AND($H66="",$J66=""),"· not ordered",IF($H66="","⚠ REVIEW",IF(N($H66)&gt;=N($D66),"✅ MET","⚠ SHORT "&amp;TEXT(N($D66)-N($H66),"0")&amp;" "&amp;$E66)))</f>
        <v/>
      </c>
      <c r="J66" s="170" t="n"/>
      <c r="L66" s="170" t="inlineStr">
        <is>
          <t>1 L BOTTLES, NOT CANS, as of 8 Aug 2026 — the bar-service mixer format. Sized on 'Other Consumables' row 20 and includes the Italian soda draw, which is 960 of the 1558 oz and is served 8 oz at a time: a 1 L bottle is four of them, a 12 oz can was one and a half. Was 214 cans / 7 cases at $91; now 59 bottles at the estimated $1.35 (Assumptions B236 — VERIFY THIS PRICE, it is one of only three unchecked numbers in the model). The service buffer on the Bar Add-Ons tab moved to 1 L as well and is still a separate pool.
*** VENDOR CHECK 13 Aug 2026: *** NO 1 L SPARKLING WATER IN ANY COSTCO WAREHOUSE — CONFIRMED. *** Warehouses stock cans (Kirkland 35 x 12 oz) and 24 x 16.9 oz bottles only; 1 L is a Business Center/Business Delivery format and the nearest Business Center is LAS VEGAS. Either buy 1 L at a Reno grocery, or reconsider cans — for a dusty bar the go-flat problem is smaller than the format note assumes. ***</t>
        </is>
      </c>
    </row>
    <row r="67" ht="15.75" customHeight="1" s="171">
      <c r="A67" s="170" t="inlineStr">
        <is>
          <t>☐</t>
        </is>
      </c>
      <c r="B67" s="192" t="inlineStr">
        <is>
          <t>Kombucha — Brew Dr. variety packs (6 x 14 oz: Clear Mind / Island Mango / Superberry)</t>
        </is>
      </c>
      <c r="C67" s="170" t="inlineStr">
        <is>
          <t>Beverage</t>
        </is>
      </c>
      <c r="D67" s="197">
        <f>'Packaged Sizing'!B41</f>
        <v/>
      </c>
      <c r="E67" s="170" t="inlineStr">
        <is>
          <t>variety packs</t>
        </is>
      </c>
      <c r="F67" s="235">
        <f>'Packaged Sizing'!D41</f>
        <v/>
      </c>
      <c r="G67" s="170" t="inlineStr">
        <is>
          <t>Costco</t>
        </is>
      </c>
      <c r="H67" s="283" t="n">
        <v>5</v>
      </c>
      <c r="I67" s="286">
        <f>IF(AND($H67="",$J67=""),"· not ordered",IF($H67="","⚠ REVIEW",IF(N($H67)&gt;=N($D67),"✅ MET","⚠ SHORT "&amp;TEXT(N($D67)-N($H67),"0")&amp;" "&amp;$E67)))</f>
        <v/>
      </c>
      <c r="J67" s="170" t="inlineStr">
        <is>
          <t>5 x Brew Dr. variety packs (6 x 14 oz). Matches the sizing on Packaged Sizing section 7.</t>
        </is>
      </c>
      <c r="K67" s="170" t="inlineStr">
        <is>
          <t>https://www.costco.com/p/-/brew-dr-organic-raw-kombucha-variety-pack-14-fl-oz-6-count/100713017?langId=-1</t>
        </is>
      </c>
      <c r="L67" s="281" t="inlineStr">
        <is>
          <t>ORDERED 14 Aug 2026 — 5 PACKS. THIS IS THE WHOLE KOMBUCHA BUY; One pack = 28 oz each of Clear Mind, Island Mango and Superberry, so packs are sized per flavour and the MAX is taken — Packaged Sizing section 7. Island Mango feeds Tang Dynasty (126 oz needed), Clear Mind feeds Clear Cache (126 oz), Superberry feeds the SCOBY Mule (84 oz); 5 packs give 140 oz each. Replaces the old 48 oz bottle spec, which was buying a Clear Mind SKU that does not exist. $11.99/pack regular, $7.99 on instant savings — check for the promo. KEEP REFRIGERATED: 30 bottles, 420 oz, cooler space for the full eight days. Same cold-chain burden as the old spec, slightly more volume.</t>
        </is>
      </c>
    </row>
    <row r="68" ht="15.75" customHeight="1" s="171">
      <c r="A68" s="170" t="inlineStr">
        <is>
          <t>☐</t>
        </is>
      </c>
      <c r="B68" s="192" t="inlineStr">
        <is>
          <t>Ginger beer (12oz cans) — Kombucha Mule</t>
        </is>
      </c>
      <c r="C68" s="170" t="inlineStr">
        <is>
          <t>Built drink</t>
        </is>
      </c>
      <c r="D68" s="197">
        <f>'Other Consumables'!D36</f>
        <v/>
      </c>
      <c r="E68" s="170" t="inlineStr">
        <is>
          <t>cans</t>
        </is>
      </c>
      <c r="F68" s="235">
        <f>D68*Assumptions!$B$97</f>
        <v/>
      </c>
      <c r="G68" s="170" t="inlineStr">
        <is>
          <t>Grocery (Reno)</t>
        </is>
      </c>
      <c r="H68" s="283" t="n"/>
      <c r="I68" s="286">
        <f>IF(AND($H68="",$J68=""),"· not ordered",IF($H68="","⚠ REVIEW",IF(N($H68)&gt;=N($D68),"✅ MET","⚠ SHORT "&amp;TEXT(N($D68)-N($H68),"0")&amp;" "&amp;$E68)))</f>
        <v/>
      </c>
      <c r="J68" s="170" t="n"/>
      <c r="L68" s="281" t="inlineStr">
        <is>
          <t>SCOBY Mule build — 3 oz per serving. Qty is derived from the recipe on 'Other Consumables' row 36, so it follows the serving count automatically.
*** VENDOR CHECK 13 Aug 2026: *** BUNDABERG IS EFFECTIVELY UNOBTAINABLE AT COSTCO: 375 of 400 warehouses out of stock as of 14 Aug 2026 (93.8%). *** Also note it is 12 x 12.7 oz GLASS BOTTLES, not 12 oz cans, so the per-serving math shifts. Source Fever-Tree, Q or Reed's at a normal grocer instead. ***</t>
        </is>
      </c>
    </row>
    <row r="69" ht="15.75" customHeight="1" s="171">
      <c r="A69" s="170" t="inlineStr">
        <is>
          <t>☐</t>
        </is>
      </c>
      <c r="B69" s="192" t="inlineStr">
        <is>
          <t>Tangerine juice (52oz bottles)</t>
        </is>
      </c>
      <c r="C69" s="170" t="inlineStr">
        <is>
          <t>Built drink</t>
        </is>
      </c>
      <c r="D69" s="197">
        <f>'Other Consumables'!D21</f>
        <v/>
      </c>
      <c r="E69" s="170" t="inlineStr">
        <is>
          <t>bottles</t>
        </is>
      </c>
      <c r="F69" s="235">
        <f>D69*Assumptions!$B$90</f>
        <v/>
      </c>
      <c r="G69" s="170" t="inlineStr">
        <is>
          <t>Grocery (Reno)</t>
        </is>
      </c>
      <c r="H69" s="283" t="n"/>
      <c r="I69" s="286">
        <f>IF(AND($H69="",$J69=""),"· not ordered",IF($H69="","⚠ REVIEW",IF(N($H69)&gt;=N($D69),"✅ MET","⚠ SHORT "&amp;TEXT(N($D69)-N($H69),"0")&amp;" "&amp;$E69)))</f>
        <v/>
      </c>
      <c r="J69" s="170" t="n"/>
      <c r="L69" s="281" t="inlineStr">
        <is>
          <t>Tang Dynasty (kombucha keg)
*** VENDOR CHECK 13 Aug 2026: *** WEAKEST LINE ON THE WHOLE LIST. *** Costco's Perricone is 59 oz x 2 (#1525452), not 52 oz — and California tangerine juice is a WINTER/SPRING SEASONAL whose Costco listings are already intermittent. Late August is the worst time of year for it. Treat as likely unavailable and pick a substitute now rather than on the day. ***</t>
        </is>
      </c>
    </row>
    <row r="70" ht="15.75" customHeight="1" s="171">
      <c r="A70" s="170" t="inlineStr">
        <is>
          <t>☐</t>
        </is>
      </c>
      <c r="B70" s="192" t="inlineStr">
        <is>
          <t>Fresh mint (bunches)</t>
        </is>
      </c>
      <c r="C70" s="170" t="inlineStr">
        <is>
          <t>Garnish</t>
        </is>
      </c>
      <c r="D70" s="197" t="n">
        <v>4</v>
      </c>
      <c r="E70" s="170" t="inlineStr">
        <is>
          <t>bunches</t>
        </is>
      </c>
      <c r="F70" s="235" t="n">
        <v>20</v>
      </c>
      <c r="G70" s="170" t="inlineStr">
        <is>
          <t>Grocery (Reno)</t>
        </is>
      </c>
      <c r="H70" s="283" t="n"/>
      <c r="I70" s="286">
        <f>IF(AND($H70="",$J70=""),"· not ordered",IF($H70="","⚠ REVIEW",IF(N($H70)&gt;=N($D70),"✅ MET","⚠ SHORT "&amp;TEXT(N($D70)-N($H70),"0")&amp;" "&amp;$E70)))</f>
        <v/>
      </c>
      <c r="J70" s="170" t="n"/>
      <c r="L70" s="281" t="inlineStr">
        <is>
          <t>Mon fresca (blended in), Tang Dynasty, green tea add-on, and the Fuzz Test mint cubes if you make them. REPRICED 2 Aug 2026: budget $20, not $12 — COSTCO DOES NOT CARRY FRESH SOFT HERBS AT ALL. Grocery bunches at Raley's/Smith's/WinCo run $2-3 each, but if you end up on Walmart 0.5 oz clamshells at $1.78 the same quantity of mint is ~$21.
*** VENDOR CHECK 13 Aug 2026: *** CONFIRMED: COSTCO CARRIES NO FRESH SOFT HERBS AT ALL. *** The 1 lb basil that exists is a Business Center item (5 warehouses, nearest BC is Las Vegas) and there is NO fresh sage anywhere in the system. Costco's only herbs are live potted plants. This whole herb block has to come from a Reno grocer or restaurant supply. ***</t>
        </is>
      </c>
    </row>
    <row r="71" ht="15.75" customHeight="1" s="171">
      <c r="A71" s="280" t="inlineStr">
        <is>
          <t>☐</t>
        </is>
      </c>
      <c r="B71" s="183" t="inlineStr">
        <is>
          <t>Fresh basil (bunches)</t>
        </is>
      </c>
      <c r="C71" s="280" t="inlineStr">
        <is>
          <t>Garnish</t>
        </is>
      </c>
      <c r="D71" s="268" t="n">
        <v>2</v>
      </c>
      <c r="E71" s="280" t="inlineStr">
        <is>
          <t>bunches</t>
        </is>
      </c>
      <c r="F71" s="251" t="n">
        <v>8</v>
      </c>
      <c r="G71" s="282" t="inlineStr">
        <is>
          <t>Grocery (Reno)</t>
        </is>
      </c>
      <c r="H71" s="286" t="n"/>
      <c r="I71" s="286">
        <f>IF(AND($H71="",$J71=""),"· not ordered",IF($H71="","⚠ REVIEW",IF(N($H71)&gt;=N($D71),"✅ MET","⚠ SHORT "&amp;TEXT(N($D71)-N($H71),"0")&amp;" "&amp;$E71)))</f>
        <v/>
      </c>
      <c r="L71" s="170" t="inlineStr">
        <is>
          <t>Tang Dynasty alternate leaf</t>
        </is>
      </c>
    </row>
    <row r="72" ht="15.75" customHeight="1" s="171">
      <c r="A72" s="280" t="inlineStr">
        <is>
          <t>☐</t>
        </is>
      </c>
      <c r="B72" s="183" t="inlineStr">
        <is>
          <t>Pickles, 32oz jars (brine + spears)</t>
        </is>
      </c>
      <c r="C72" s="280" t="inlineStr">
        <is>
          <t>Garnish</t>
        </is>
      </c>
      <c r="D72" s="268">
        <f>'Other Consumables'!D50</f>
        <v/>
      </c>
      <c r="E72" s="280" t="inlineStr">
        <is>
          <t>jars</t>
        </is>
      </c>
      <c r="F72" s="251">
        <f>D72*Assumptions!$B$212</f>
        <v/>
      </c>
      <c r="G72" s="282" t="inlineStr">
        <is>
          <t>Grocery (Reno)</t>
        </is>
      </c>
      <c r="H72" s="286" t="n"/>
      <c r="I72" s="286">
        <f>IF(AND($H72="",$J72=""),"· not ordered",IF($H72="","⚠ REVIEW",IF(N($H72)&gt;=N($D72),"✅ MET","⚠ SHORT "&amp;TEXT(N($D72)-N($H72),"0")&amp;" "&amp;$E72)))</f>
        <v/>
      </c>
      <c r="L72" s="170" t="inlineStr">
        <is>
          <t>Sized on 'Other Consumables' row 50, from the pickle juice in every A Ginger's Pickle (1 oz as of 10 Aug 2026) PLUS the brine shots on the menu board — same jars, and the shots are the bigger draw. Jar count assumes you only get about 14 oz of drainable brine from a 32 oz jar (Assumptions B211). Spears come free with the brine.
*** VENDOR CHECK 13 Aug 2026: Costco's shelf-stable 32 oz option is Vlasic Kosher Dill BABY WHOLES 2 x 32 oz (#1452520) — whole, not spears. Costco's actual spears (Grillo's 52 oz, Claussen 80 oz) are REFRIGERATED, which is no good on playa. Buy shelf-stable spears at the grocery. Same warning applies on Amazon: Grillo's tops the search results and is refrigerated. ***</t>
        </is>
      </c>
    </row>
    <row r="73" ht="15.75" customHeight="1" s="171">
      <c r="A73" s="295" t="inlineStr">
        <is>
          <t>☐</t>
        </is>
      </c>
      <c r="B73" s="296" t="inlineStr">
        <is>
          <t>Lemons, whole (fresh) — OPTIONAL, bartender choice</t>
        </is>
      </c>
      <c r="C73" s="204" t="inlineStr">
        <is>
          <t>Built drink</t>
        </is>
      </c>
      <c r="D73" s="289">
        <f>'Other Consumables'!D37</f>
        <v/>
      </c>
      <c r="E73" s="204" t="inlineStr">
        <is>
          <t>each</t>
        </is>
      </c>
      <c r="F73" s="297">
        <f>D73*Assumptions!$B$100</f>
        <v/>
      </c>
      <c r="G73" s="290" t="inlineStr">
        <is>
          <t>Grocery (Reno)</t>
        </is>
      </c>
      <c r="H73" s="286" t="n"/>
      <c r="I73" s="286">
        <f>IF(AND($H73="",$J73=""),"· not ordered",IF($H73="","⚠ REVIEW",IF(N($H73)&gt;=N($D73),"✅ MET","⚠ SHORT "&amp;TEXT(N($D73)-N($H73),"0")&amp;" "&amp;$E73)))</f>
        <v/>
      </c>
      <c r="J73" s="170" t="inlineStr">
        <is>
          <t>OPTIONAL top-up buy in Reno. Not required by any recipe — bottled covers everything. Buy a few if you want the fresh option available.</t>
        </is>
      </c>
      <c r="L73" s="170" t="inlineStr">
        <is>
          <t>READS ZERO, AND THAT IS CORRECT — DO NOT BUY LEMONS. The SCOBY Mule followed Clear Cache onto bottled yuzu on 10 Aug 2026 (row 69) and was the last fresh-lemon build; the two peach-tea jugs had already gone to bottled juice on row 44. No build, no garnish and no wedge on the bar uses a lemon any more — the Radler garnish went at the same time. Sized on 'Other Consumables' row 37, which is kept live so that putting fresh lemon back into any recipe restores this line by itself.
*** UN-RETIRED AS AN OPTION 14 Aug 2026. *** Still buys nothing automatically and no recipe depends on it — bottled lemon covers the two peach-tea jugs in full, with a spare bottle. But fresh lemons are being bought in Reno anyway so bartenders can choose either. See the main instruction card on Daily Schedule.</t>
        </is>
      </c>
    </row>
    <row r="74" ht="15.75" customHeight="1" s="171">
      <c r="A74" s="280" t="inlineStr">
        <is>
          <t>☐</t>
        </is>
      </c>
      <c r="B74" s="183" t="inlineStr">
        <is>
          <t>Fresh sage (bunches)</t>
        </is>
      </c>
      <c r="C74" s="280" t="inlineStr">
        <is>
          <t>Garnish</t>
        </is>
      </c>
      <c r="D74" s="268" t="n">
        <v>2</v>
      </c>
      <c r="E74" s="280" t="inlineStr">
        <is>
          <t>bunches</t>
        </is>
      </c>
      <c r="F74" s="251" t="n">
        <v>8</v>
      </c>
      <c r="G74" s="282" t="inlineStr">
        <is>
          <t>Grocery (Reno)</t>
        </is>
      </c>
      <c r="H74" s="283" t="n"/>
      <c r="I74" s="286">
        <f>IF(AND($H74="",$J74=""),"· not ordered",IF($H74="","⚠ REVIEW",IF(N($H74)&gt;=N($D74),"✅ MET","⚠ SHORT "&amp;TEXT(N($D74)-N($H74),"0")&amp;" "&amp;$E74)))</f>
        <v/>
      </c>
      <c r="J74" s="170" t="n"/>
      <c r="L74" s="281" t="inlineStr">
        <is>
          <t>Clear Cache garnish — slapped leaf per drink</t>
        </is>
      </c>
    </row>
    <row r="75" ht="15.75" customHeight="1" s="171">
      <c r="A75" s="280" t="inlineStr">
        <is>
          <t>☐</t>
        </is>
      </c>
      <c r="B75" s="248" t="inlineStr">
        <is>
          <t>Bar add-ons (tonic, soda water, ginger beer, bitters, Red Bull, coconut water)</t>
        </is>
      </c>
      <c r="C75" s="248" t="inlineStr">
        <is>
          <t>Add-on</t>
        </is>
      </c>
      <c r="D75" s="292" t="n">
        <v>1</v>
      </c>
      <c r="E75" s="248" t="inlineStr">
        <is>
          <t>set</t>
        </is>
      </c>
      <c r="F75" s="254">
        <f>'Bar Add-Ons'!E18</f>
        <v/>
      </c>
      <c r="G75" s="293" t="inlineStr">
        <is>
          <t>Grocery (Reno)</t>
        </is>
      </c>
      <c r="H75" s="283" t="n"/>
      <c r="I75" s="286">
        <f>IF(AND($H75="",$J75=""),"· not ordered",IF($H75="","⚠ REVIEW",IF(N($H75)&gt;=N($D75),"✅ MET","⚠ SHORT "&amp;TEXT(N($D75)-N($H75),"0")&amp;" "&amp;$E75)))</f>
        <v/>
      </c>
      <c r="J75" s="170" t="inlineStr">
        <is>
          <t>*** PARTIAL. *** Of this set, the Costco run covers RED BULL (1 x 24 regular + 1 x 24 Yellow/Tropical = 48, exactly the split on Bar Add-Ons row 14) and COCONUT WATER (2 x 18 Vita Coco = 36, exactly as sized). STILL OUTSTANDING: tonic, soda water, ginger beer, bitters.</t>
        </is>
      </c>
      <c r="K75" s="170" t="inlineStr">
        <is>
          <t>https://www.costco.com/p/-/red-bull-energy-drink-84-fl-oz-24-count/100368228?langId=-1
https://www.costco.com/p/-/red-bull-energy-drink-tropical-84-fl-oz-24-count/100696936?langId=-1
https://www.costco.com/p/-/vita-coco-coconut-water-111-fl-oz-18-count/100411697?langId=-1</t>
        </is>
      </c>
      <c r="L75" s="281" t="inlineStr">
        <is>
          <t>Itemized on the Bar Add-Ons tab
[Buyer note carried over from the old scratch column: Christophe]</t>
        </is>
      </c>
    </row>
    <row r="76" ht="15" customHeight="1" s="171">
      <c r="A76" s="280" t="inlineStr">
        <is>
          <t>☐</t>
        </is>
      </c>
      <c r="B76" s="183" t="inlineStr">
        <is>
          <t>Tangerine juice, quarts — camp ration (RATION IT)</t>
        </is>
      </c>
      <c r="C76" s="280" t="inlineStr">
        <is>
          <t>Camp bulk</t>
        </is>
      </c>
      <c r="D76" s="268">
        <f>'Camp Drinks'!E11</f>
        <v/>
      </c>
      <c r="E76" s="280" t="inlineStr">
        <is>
          <t>quarts</t>
        </is>
      </c>
      <c r="F76" s="251">
        <f>'Camp Drinks'!H11</f>
        <v/>
      </c>
      <c r="G76" s="282" t="inlineStr">
        <is>
          <t>Grocery (Reno)</t>
        </is>
      </c>
      <c r="H76" s="286" t="n"/>
      <c r="I76" s="286">
        <f>IF(AND($H76="",$J76=""),"· not ordered",IF($H76="","⚠ REVIEW",IF(N($H76)&gt;=N($D76),"✅ MET","⚠ SHORT "&amp;TEXT(N($D76)-N($H76),"0")&amp;" "&amp;$E76)))</f>
        <v/>
      </c>
      <c r="L76" s="281" t="inlineStr">
        <is>
          <t>Camper treat, separate from the 52 oz bottles on the Tang Dynasty line — those are bar stock and should not be raided for this. See the ration note on Camp Drinks row 11.
*** VENDOR CHECK 13 Aug 2026: NO QUART-FORMAT TANGERINE JUICE SKU AT COSTCO in any channel. Combined with the seasonality problem on the 52 oz line above, plan this camp ration around a different juice. ***</t>
        </is>
      </c>
    </row>
    <row r="77" ht="15.75" customHeight="1" s="171">
      <c r="A77" s="280" t="inlineStr">
        <is>
          <t>☐</t>
        </is>
      </c>
      <c r="B77" s="183" t="inlineStr">
        <is>
          <t>Ginger beer — camper stock</t>
        </is>
      </c>
      <c r="C77" s="204" t="inlineStr">
        <is>
          <t>Camp bulk</t>
        </is>
      </c>
      <c r="D77" s="268">
        <f>'Camp Drinks'!B20</f>
        <v/>
      </c>
      <c r="E77" s="280" t="inlineStr">
        <is>
          <t>cans</t>
        </is>
      </c>
      <c r="F77" s="251">
        <f>'Camp Drinks'!H20</f>
        <v/>
      </c>
      <c r="G77" s="282" t="inlineStr">
        <is>
          <t>Grocery (Reno)</t>
        </is>
      </c>
      <c r="H77" s="283" t="n"/>
      <c r="I77" s="286">
        <f>IF(AND($H77="",$J77=""),"· not ordered",IF($H77="","⚠ REVIEW",IF(N($H77)&gt;=N($D77),"✅ MET","⚠ SHORT "&amp;TEXT(N($D77)-N($H77),"0")&amp;" "&amp;$E77)))</f>
        <v/>
      </c>
      <c r="J77" s="170" t="n"/>
      <c r="K77" s="170" t="n"/>
      <c r="L77" s="170" t="inlineStr">
        <is>
          <t>Camper stock, not bar service. SEPARATE from row 78 (the Kombucha Mule build) and from the mixer buffer on 'Bar Add-Ons' row 9 — three pools on purpose, so camp stock does not drink the bar's mixers. Qty is TOTAL CANS — buy whatever pack size the shop has.</t>
        </is>
      </c>
    </row>
    <row r="78" ht="15.75" customHeight="1" s="171">
      <c r="A78" s="204" t="inlineStr">
        <is>
          <t>☐</t>
        </is>
      </c>
      <c r="B78" s="288" t="inlineStr">
        <is>
          <t>Watermelon juice (1 L cartons) — Watermelon Sugar High</t>
        </is>
      </c>
      <c r="C78" s="204" t="inlineStr">
        <is>
          <t>Fresh produce</t>
        </is>
      </c>
      <c r="D78" s="289">
        <f>'Other Consumables'!D51</f>
        <v/>
      </c>
      <c r="E78" s="204" t="inlineStr">
        <is>
          <t>cartons</t>
        </is>
      </c>
      <c r="F78" s="241">
        <f>D78*Assumptions!$B$219</f>
        <v/>
      </c>
      <c r="G78" s="290" t="inlineStr">
        <is>
          <t>Grocery (Reno)</t>
        </is>
      </c>
      <c r="H78" s="283" t="n"/>
      <c r="I78" s="286">
        <f>IF(AND($H78="",$J78=""),"· not ordered",IF($H78="","⚠ REVIEW",IF(N($H78)&gt;=N($D78),"✅ MET","⚠ SHORT "&amp;TEXT(N($D78)-N($H78),"0")&amp;" "&amp;$E78)))</f>
        <v/>
      </c>
      <c r="L78" s="281" t="inlineStr">
        <is>
          <t>2 oz per cup across 50 servings, replacing the watermelon Torani that used to sit in this build. SEPARATE FROM THE WHOLE MELONS ON ROW 24 — those are Monday’s Hard Reset and are gone by Tuesday, and the Watermelon Sugar High is on the board all week. Price on Assumptions B219 is an ESTIMATE — one of three unchecked lines in the model, with the two 1 L mixer prices on B236/B237 — see the note at the bottom of ‘Ingredient Pricing’. If the shop only has 59 oz bottles, change Assumptions B218 to 59 and the count re-rounds itself.
*** VENDOR CHECK 13 Aug 2026: Costco does carry the exact format — World Waters / WTRMLN WTR 33.8 oz x 2, #1057511 — BUT only at ~72 warehouses. Call Reno and Sparks before counting on it; otherwise a Reno grocery. Price on Assumptions B219 is still an ESTIMATE either way. ***</t>
        </is>
      </c>
    </row>
    <row r="79" ht="15.75" customHeight="1" s="171">
      <c r="A79" s="170" t="inlineStr">
        <is>
          <t>☐</t>
        </is>
      </c>
      <c r="B79" s="170" t="inlineStr">
        <is>
          <t>Orange Fanta — base soda</t>
        </is>
      </c>
      <c r="C79" s="170" t="inlineStr">
        <is>
          <t>Soda</t>
        </is>
      </c>
      <c r="D79" s="170">
        <f>U79</f>
        <v/>
      </c>
      <c r="E79" s="170" t="inlineStr">
        <is>
          <t>cans</t>
        </is>
      </c>
      <c r="F79" s="170">
        <f>'Base Soda — Cans'!E6*Assumptions!$B$16</f>
        <v/>
      </c>
      <c r="G79" s="294" t="inlineStr">
        <is>
          <t>Walmart</t>
        </is>
      </c>
      <c r="H79" s="286" t="n"/>
      <c r="I79" s="286">
        <f>IF(AND($H79="",$J79=""),"· not ordered",IF($H79="","⚠ REVIEW",IF(N($H79)&gt;=N($D79),"✅ MET","⚠ SHORT "&amp;TEXT(N($D79)-N($H79),"0")&amp;" "&amp;$E79)))</f>
        <v/>
      </c>
      <c r="J79" s="170" t="inlineStr">
        <is>
          <t>*** UNIT CHANGED — 7.5 oz MINIS, not 12 oz cans. Qty in column D is 12 oz cans and CANNOT be compared to this. Reconcile upstream (Assumptions B7/B157) before trusting the green. ***
5 x 30-pk variety minis -&gt; 50 x 7.5 oz Fanta = 375 oz. Need 230 oz. COVERED on volume, comfortably.</t>
        </is>
      </c>
      <c r="K79" s="170" t="inlineStr">
        <is>
          <t>https://www.costco.com/p/-/coca-cola-mini-variety-pack-75-fl-oz-30-count/100787633?langId=-1</t>
        </is>
      </c>
      <c r="L79" s="281" t="inlineStr">
        <is>
          <t>Orange Cream-sicle only — 4 oz x 60 servings.
*** VENDOR CHECK 13 Aug 2026: *** COSTCO CANNOT SUPPLY THIS — VARIETY-ONLY, CONFIRMED. *** The only warehouse SKU is #1890334, a 36-count variety that is just 12 orange / 12 pineapple / 12 strawberry, and it is itself ~66% out of stock network-wide. This line needs 33 orange cans. Walmart's 24-pack at ~$0.62/can is the practical route (+35% on this line) — the choice flagged on 'Ingredient Pricing' row 103, now decided. Off-channel alternatives if you want them: Costco Business Center #11811794 (24 x 12 oz) or Fanta de Mexico #552235. ***</t>
        </is>
      </c>
      <c r="R79" s="170">
        <f>'Base Soda — Cans'!B6</f>
        <v/>
      </c>
      <c r="S79" s="170">
        <f>'Base Soda — Cans'!C6</f>
        <v/>
      </c>
      <c r="T79" s="170">
        <f>MAX('Base Soda — Cans'!C6-'Base Soda — Cans'!H6,0)</f>
        <v/>
      </c>
      <c r="U79" s="170">
        <f>CEILING(T79/(Assumptions!$B$7*Assumptions!$B$157),1)</f>
        <v/>
      </c>
      <c r="V79" s="170">
        <f>CEILING(T79/(Assumptions!$B$165*Assumptions!$B$238),1)</f>
        <v/>
      </c>
    </row>
    <row r="80" ht="15.75" customHeight="1" s="171">
      <c r="A80" s="170" t="inlineStr">
        <is>
          <t>☐</t>
        </is>
      </c>
      <c r="B80" s="170" t="inlineStr">
        <is>
          <t>19-gallon tubs (ice bath for canned &amp; bottled stock)</t>
        </is>
      </c>
      <c r="C80" s="170" t="inlineStr">
        <is>
          <t>Hardware</t>
        </is>
      </c>
      <c r="D80" s="170" t="n">
        <v>2</v>
      </c>
      <c r="E80" s="170" t="inlineStr">
        <is>
          <t>tubs</t>
        </is>
      </c>
      <c r="F80" s="170">
        <f>D80*15</f>
        <v/>
      </c>
      <c r="G80" s="294" t="inlineStr">
        <is>
          <t>Walmart</t>
        </is>
      </c>
      <c r="H80" s="286" t="n"/>
      <c r="I80" s="286">
        <f>IF(AND($H80="",$J80=""),"· not ordered",IF($H80="","⚠ REVIEW",IF(N($H80)&gt;=N($D80),"✅ MET","⚠ SHORT "&amp;TEXT(N($D80)-N($H80),"0")&amp;" "&amp;$E80)))</f>
        <v/>
      </c>
      <c r="L80" s="281" t="inlineStr">
        <is>
          <t>CLAUDE Remove, we should already have coolers for this.</t>
        </is>
      </c>
    </row>
    <row r="81" ht="15.75" customHeight="1" s="171">
      <c r="A81" s="170" t="inlineStr">
        <is>
          <t>☐</t>
        </is>
      </c>
      <c r="B81" s="170" t="inlineStr">
        <is>
          <t>Base soda — 2 L bottles (Sprite — Sunday Cherry Bomb jug)</t>
        </is>
      </c>
      <c r="C81" s="170" t="inlineStr">
        <is>
          <t>Soda</t>
        </is>
      </c>
      <c r="D81" s="170">
        <f>'Base Soda — Cans'!G14</f>
        <v/>
      </c>
      <c r="E81" s="170" t="inlineStr">
        <is>
          <t>2 L bottles</t>
        </is>
      </c>
      <c r="F81" s="170">
        <f>D81*Assumptions!$B$166</f>
        <v/>
      </c>
      <c r="G81" s="294" t="inlineStr">
        <is>
          <t>Grocery (Reno)</t>
        </is>
      </c>
      <c r="H81" s="286" t="n"/>
      <c r="I81" s="286">
        <f>IF(AND($H81="",$J81=""),"· not ordered",IF($H81="","⚠ REVIEW",IF(N($H81)&gt;=N($D81),"✅ MET","⚠ SHORT "&amp;TEXT(N($D81)-N($H81),"0")&amp;" "&amp;$E81)))</f>
        <v/>
      </c>
      <c r="L81" s="170" t="inlineStr">
        <is>
          <t>THE JUG FORMAT, AND NOW ONLY THE JUG. Sprite for Sunday’s Cherry Bomb jug — 82.5 oz, poured straight out, so no partial-container waste. DERIVED as of 8 Aug 2026: ‘Base Soda — Cans’ column G sizes 2 L off whatever the jug recipes actually draw (column I), so adding, resizing or retiring a jug moves the bottle count on its own instead of being remembered. Mountain Dew left this line the same day and went back to cans with the other dirty-soda bases. Lemonade and horchata are jug ingredients too but are forced off the bottle format — both are mixed from powder/concentrate and paid for on their own lines. Bar mixers are 1 L.
*** VENDOR CHECK 13 Aug 2026: AMAZON IS THE WRONG VENDOR: 2 L soda there is a classic third-party markup category at 2-3x shelf price, and a 6-pack is ~26 lb of shipped liquid. Buy at Walmart with the rest — which is what the note above already assumes (Assumptions B166 is the Walmart price). ***</t>
        </is>
      </c>
    </row>
    <row r="82" ht="15.75" customHeight="1" s="171">
      <c r="A82" s="170" t="inlineStr">
        <is>
          <t>☐</t>
        </is>
      </c>
      <c r="B82" s="170" t="inlineStr">
        <is>
          <t>Cranberry juice (48oz bottles)</t>
        </is>
      </c>
      <c r="C82" s="170" t="inlineStr">
        <is>
          <t>Add-on</t>
        </is>
      </c>
      <c r="D82" s="233" t="n">
        <v>2</v>
      </c>
      <c r="E82" s="170" t="inlineStr">
        <is>
          <t>48oz bottles</t>
        </is>
      </c>
      <c r="F82" s="170">
        <f>D82*5</f>
        <v/>
      </c>
      <c r="G82" s="294" t="inlineStr">
        <is>
          <t>Reno BevMo</t>
        </is>
      </c>
      <c r="H82" s="286" t="n"/>
      <c r="I82" s="286">
        <f>IF(AND($H82="",$J82=""),"· not ordered",IF($H82="","⚠ REVIEW",IF(N($H82)&gt;=N($D82),"✅ MET","⚠ SHORT "&amp;TEXT(N($D82)-N($H82),"0")&amp;" "&amp;$E82)))</f>
        <v/>
      </c>
      <c r="L82" s="281" t="inlineStr">
        <is>
          <t>ADDED 18 Aug 2026 at your request — not tied to any current recipe, just extra bar/camp stock. NOTE: BevMo's closest real listing is Ocean Spray Cranberry Cocktail at 46 oz, not an even 48 oz — treat 48 as a rough target and let the actual bottle size at checkout round it. Price ($5/bottle) is an unchecked estimate; BevMo's own per-bottle price wasn't readable via search.</t>
        </is>
      </c>
    </row>
    <row r="83" ht="15.75" customHeight="1" s="171">
      <c r="A83" s="204" t="inlineStr">
        <is>
          <t>☐</t>
        </is>
      </c>
      <c r="B83" s="288" t="inlineStr">
        <is>
          <t>Tomato juice / V8 (46oz bottles) — Michelada, OPTIONAL</t>
        </is>
      </c>
      <c r="C83" s="204" t="inlineStr">
        <is>
          <t>Built drink</t>
        </is>
      </c>
      <c r="D83" s="289" t="n">
        <v>2</v>
      </c>
      <c r="E83" s="204" t="inlineStr">
        <is>
          <t>bottles</t>
        </is>
      </c>
      <c r="F83" s="241">
        <f>D83*4</f>
        <v/>
      </c>
      <c r="G83" s="290" t="inlineStr">
        <is>
          <t>Grocery (Reno)</t>
        </is>
      </c>
      <c r="H83" s="283" t="n"/>
      <c r="I83" s="286">
        <f>IF(AND($H83="",$J83=""),"· not ordered",IF($H83="","⚠ REVIEW",IF(N($H83)&gt;=N($D83),"✅ MET","⚠ SHORT "&amp;TEXT(N($D83)-N($H83),"0")&amp;" "&amp;$E83)))</f>
        <v/>
      </c>
      <c r="J83" s="170" t="n"/>
      <c r="L83" s="281" t="inlineStr">
        <is>
          <t>ADDED 18 Aug 2026. OPTIONAL, bartender's-choice ingredient for the Michelada's non-clammy variant (Dirty Soda - Built Drinks row 4): if found, 1 oz Bloody Mary Mix + 3 oz tomato/V8 juice replaces the default 2.5 oz Bloody Mary Mix alone. Qty is a starting-stock guess (2 x 46oz standard V8 bottles = 92 oz, roughly enough for 30 servings at 3 oz each if it becomes the go-to build), NOT derived from a recipe formula — it depends on what the store actually has and how often it gets used. Adjust freely; buy more on a return trip if it's popular. Price ($4/bottle) is a rough grocery estimate, unchecked.</t>
        </is>
      </c>
    </row>
    <row r="84" ht="15.75" customHeight="1" s="171">
      <c r="A84" s="295" t="inlineStr">
        <is>
          <t>☐</t>
        </is>
      </c>
      <c r="B84" s="296" t="inlineStr">
        <is>
          <t>Rice Dream Horchata, 32oz (Pack of 6) — Whore-chata jug + non-dairy creamer</t>
        </is>
      </c>
      <c r="C84" s="204" t="inlineStr">
        <is>
          <t>Soda</t>
        </is>
      </c>
      <c r="D84" s="289" t="n">
        <v>12</v>
      </c>
      <c r="E84" s="204" t="inlineStr">
        <is>
          <t>bottles (2 packs of 6)</t>
        </is>
      </c>
      <c r="F84" s="297" t="n">
        <v>56</v>
      </c>
      <c r="G84" s="290" t="inlineStr">
        <is>
          <t>Amazon</t>
        </is>
      </c>
      <c r="H84" s="286" t="n">
        <v>12</v>
      </c>
      <c r="I84" s="286">
        <f>IF(AND($H84="",$J84=""),"· not ordered",IF($H84="","⚠ REVIEW",IF(N($H84)&gt;=N($D84),"✅ MET","⚠ SHORT "&amp;TEXT(N($D84)-N($H84),"0")&amp;" "&amp;$E84)))</f>
        <v/>
      </c>
      <c r="J84" s="170" t="inlineStr">
        <is>
          <t>Rice Dream Horchata, 2 packs of 6, confirmed ordered 19 Aug 2026.</t>
        </is>
      </c>
      <c r="L84" s="170" t="inlineStr">
        <is>
          <t>[[ AMAZON — ALREADY ORDERED ]]
SWITCHED FROM MEXQUISITA CONCENTRATE 18 Aug 2026 — Rice Dream Horchata, Traditional Rice Drink with Cinnamon, ready-to-drink, confirmed real (RICE DREAM brand), 32oz bottles sold in packs of 6. TWO PACKS (12 bottles), DECIDED 18 Aug 2026 (down from 3): (1) Friday Whore-chata jug — 165 oz raw / 189.75 oz buffered, needs 6 bottles (192 oz), exactly one pack, FULLY COVERED. (2) The '8 non-dairy' half of the coffee-creamer spec that was never actually sourced (Purchase List row 43 note) — the remaining 6 bottles cover 6 of the 8 needed, PARTIALLY COVERED. The other 2 bottles' worth is intentionally left to the other non-dairy creamer options being sourced separately (your call, not tracked on this sheet yet). Price ($56 for 2 packs, $28/pack) is a Walmart cross-check (was $35.73) — unchecked for the actual Amazon price, confirm at checkout.</t>
        </is>
      </c>
    </row>
    <row r="85" ht="15.75" customHeight="1" s="171">
      <c r="A85" s="295" t="inlineStr">
        <is>
          <t>☐</t>
        </is>
      </c>
      <c r="B85" s="296" t="inlineStr">
        <is>
          <t>Torani syrups (all flavors)</t>
        </is>
      </c>
      <c r="C85" s="204" t="inlineStr">
        <is>
          <t>Syrup</t>
        </is>
      </c>
      <c r="D85" s="289">
        <f>'Other Consumables'!$D$12</f>
        <v/>
      </c>
      <c r="E85" s="204" t="inlineStr">
        <is>
          <t>bottles</t>
        </is>
      </c>
      <c r="F85" s="297">
        <f>D85*Assumptions!$B$19</f>
        <v/>
      </c>
      <c r="G85" s="290" t="inlineStr">
        <is>
          <t>Amazon (21) + already owned (6, variety pack)</t>
        </is>
      </c>
      <c r="H85" s="286" t="n">
        <v>27</v>
      </c>
      <c r="I85" s="286">
        <f>IF(AND($H85="",$J85=""),"· not ordered",IF($H85="","⚠ REVIEW",IF(N($H85)&gt;=N($D85),"✅ MET","⚠ SHORT "&amp;TEXT(N($D85)-N($H85),"0")&amp;" "&amp;$E85)))</f>
        <v/>
      </c>
      <c r="J85" s="170" t="inlineStr">
        <is>
          <t>21 (Peach/Vanilla/Cherry, 7 each) confirmed ordered on Amazon + 6 flexible Italian Soda bottles covered by a variety mix set already purchased/on hand, per your 19 Aug 2026 note.</t>
        </is>
      </c>
      <c r="K85" s="281" t="n"/>
      <c r="L85" s="281" t="inlineStr">
        <is>
          <t>27 of 27 bottles covered as of 19 Aug 2026 — 21 Peach/Vanilla/Cherry (locked, tied to specific built drinks) via the Amazon order, plus the 6 flexible Italian Soda bottles via an already-owned variety mix set (not a new purchase). MELON IS NOT IN THIS LINE — bought separately as Boudan Melon Syrup, row 97. Production note: whatever's in that variety set is worth a mention on the Italian Soda sign so people know to ask for it.</t>
        </is>
      </c>
    </row>
    <row r="86" ht="15.75" customHeight="1" s="171">
      <c r="A86" s="170" t="inlineStr">
        <is>
          <t>☐</t>
        </is>
      </c>
      <c r="B86" s="192" t="inlineStr">
        <is>
          <t>Cream of coconut (16.9oz squeeze bottles)</t>
        </is>
      </c>
      <c r="C86" s="170" t="inlineStr">
        <is>
          <t>Dairy/cream</t>
        </is>
      </c>
      <c r="D86" s="197">
        <f>'Other Consumables'!D16</f>
        <v/>
      </c>
      <c r="E86" s="170" t="inlineStr">
        <is>
          <t>bottles</t>
        </is>
      </c>
      <c r="F86" s="235">
        <f>D86*Assumptions!$B$20</f>
        <v/>
      </c>
      <c r="G86" s="170" t="inlineStr">
        <is>
          <t>Amazon</t>
        </is>
      </c>
      <c r="H86" s="283" t="n">
        <v>10</v>
      </c>
      <c r="I86" s="286">
        <f>IF(AND($H86="",$J86=""),"· not ordered",IF($H86="","⚠ REVIEW",IF(N($H86)&gt;=N($D86),"✅ MET","⚠ SHORT "&amp;TEXT(N($D86)-N($H86),"0")&amp;" "&amp;$E86)))</f>
        <v/>
      </c>
      <c r="J86" s="170" t="inlineStr">
        <is>
          <t>Cream of coconut, confirmed ordered 19 Aug 2026.</t>
        </is>
      </c>
      <c r="L86" s="281" t="n"/>
    </row>
    <row r="87" ht="15.75" customHeight="1" s="171">
      <c r="A87" s="170" t="inlineStr">
        <is>
          <t>☐</t>
        </is>
      </c>
      <c r="B87" s="192" t="inlineStr">
        <is>
          <t>Sakura + orange syrup (Sat Catboy Café add-on)</t>
        </is>
      </c>
      <c r="C87" s="170" t="inlineStr">
        <is>
          <t>Built drink</t>
        </is>
      </c>
      <c r="D87" s="197">
        <f>Assumptions!$B$63</f>
        <v/>
      </c>
      <c r="E87" s="170" t="inlineStr">
        <is>
          <t>bottles</t>
        </is>
      </c>
      <c r="F87" s="235">
        <f>D87*Assumptions!$B$62</f>
        <v/>
      </c>
      <c r="G87" s="170" t="inlineStr">
        <is>
          <t>Amazon</t>
        </is>
      </c>
      <c r="H87" s="283" t="n">
        <v>2</v>
      </c>
      <c r="I87" s="286">
        <f>IF(AND($H87="",$J87=""),"· not ordered",IF($H87="","⚠ REVIEW",IF(N($H87)&gt;=N($D87),"✅ MET","⚠ SHORT "&amp;TEXT(N($D87)-N($H87),"0")&amp;" "&amp;$E87)))</f>
        <v/>
      </c>
      <c r="J87" s="170" t="inlineStr">
        <is>
          <t>Confirmed ordered on Amazon, 19 Aug 2026 (Floral Elixir Cherry Blossom + Torani Orange).</t>
        </is>
      </c>
      <c r="L87" s="170" t="inlineStr">
        <is>
          <t>RESOLVED 18 Aug 2026 — Floral Elixir Co. Cherry Blossom is a real cherry-blossom syrup, a better thematic match than the earlier Torani Rose fallback; paired with a proper Torani Orange bottle for the orange-syrup half. Sakura + orange syrup for the built Catboy Café Green Tea (Recipes row 14).
*** VENDOR CHECK 13 Aug 2026: SAKURA IS A DEAD END IN THE US — CONFIRMED. No Monin Cherry Blossom on US Amazon; superseded by the Floral Elixir Co. find above. ***</t>
        </is>
      </c>
    </row>
    <row r="88" ht="15.75" customHeight="1" s="171">
      <c r="A88" s="170" t="inlineStr">
        <is>
          <t>☐</t>
        </is>
      </c>
      <c r="B88" s="192" t="inlineStr">
        <is>
          <t>Fee Brothers Cherry Bitters (5 oz)</t>
        </is>
      </c>
      <c r="C88" s="170" t="inlineStr">
        <is>
          <t>Daily Special</t>
        </is>
      </c>
      <c r="D88" s="197" t="n">
        <v>1</v>
      </c>
      <c r="E88" s="170" t="inlineStr">
        <is>
          <t>bottles</t>
        </is>
      </c>
      <c r="F88" s="235">
        <f>D88*13.49</f>
        <v/>
      </c>
      <c r="G88" s="170" t="inlineStr">
        <is>
          <t>Amazon</t>
        </is>
      </c>
      <c r="H88" s="283" t="n">
        <v>1</v>
      </c>
      <c r="I88" s="286">
        <f>IF(AND($H88="",$J88=""),"· not ordered",IF($H88="","⚠ REVIEW",IF(N($H88)&gt;=N($D88),"✅ MET","⚠ SHORT "&amp;TEXT(N($D88)-N($H88),"0")&amp;" "&amp;$E88)))</f>
        <v/>
      </c>
      <c r="J88" s="170" t="inlineStr">
        <is>
          <t>Fee Brothers Cherry Bitters, confirmed ordered 19 Aug 2026.</t>
        </is>
      </c>
      <c r="L88" s="281" t="inlineStr">
        <is>
          <t>ADDED 18 Aug 2026, replacing Grenadine on this line (was 'Grenadine', formula-driven off Jug Recipes row 25 — that row is now retired and reads $0). Used 2-3 dashes at a time in the Thursday Gradient Descent jug, poured into the cup, not the jug (Jug Recipes row 8 / Jug Build Steps row 10). One 5 oz bottle is far more than a single night's dashes need — flat one-bottle buy, same pattern as the Angostura bitters on Bar Add-Ons row 10. Price: $13.49 at WebstaurantStore (checked 18 Aug 2026); Binny's $9.49, CWSpirits $11.99 — confirm the actual Amazon price at checkout, it wasn't directly readable via search.</t>
        </is>
      </c>
    </row>
    <row r="89" ht="15" customHeight="1" s="171">
      <c r="A89" s="280" t="inlineStr">
        <is>
          <t>☐</t>
        </is>
      </c>
      <c r="B89" s="183" t="inlineStr">
        <is>
          <t>Blue spirulina powder</t>
        </is>
      </c>
      <c r="C89" s="281" t="inlineStr">
        <is>
          <t>Daily Special</t>
        </is>
      </c>
      <c r="D89" s="268">
        <f>'Jug Recipes'!D26</f>
        <v/>
      </c>
      <c r="E89" s="280" t="inlineStr">
        <is>
          <t>jar</t>
        </is>
      </c>
      <c r="F89" s="251">
        <f>'Jug Recipes'!F26</f>
        <v/>
      </c>
      <c r="G89" s="282" t="inlineStr">
        <is>
          <t>Amazon</t>
        </is>
      </c>
      <c r="H89" s="283" t="n"/>
      <c r="I89" s="284">
        <f>IF(AND($H89="",$J89=""),"· not ordered",IF($H89="","⚠ REVIEW",IF(N($H89)&gt;=N($D89),"✅ MET","⚠ SHORT "&amp;TEXT(N($D89)-N($H89),"0")&amp;" "&amp;$E89)))</f>
        <v/>
      </c>
      <c r="J89" s="285" t="inlineStr">
        <is>
          <t>Suggested pick: Biofunctionals Blue Spirulina Powder, 1oz — $9.99</t>
        </is>
      </c>
      <c r="K89" s="170" t="n"/>
      <c r="L89" s="281" t="inlineStr">
        <is>
          <t>CATBOY SNOT ONLY. Blue Screen of Death is retired, so the jar’s single remaining job is tinting the Saturday aloe bottle green (‘Dirty Soda - Built Drinks’ row 15) — a pinch, not a spoon. One 30 g jar is far more than that needs, and there is no smaller sensible buy. Drop the qty on ‘Jug Recipes’ D26 to 0 if you drop the tint too.</t>
        </is>
      </c>
      <c r="R89" s="233" t="n"/>
      <c r="S89" s="233" t="n"/>
      <c r="T89" s="170" t="n"/>
      <c r="U89" s="170" t="n"/>
      <c r="V89" s="170" t="n"/>
    </row>
    <row r="90" ht="15.75" customHeight="1" s="171">
      <c r="A90" s="295" t="inlineStr">
        <is>
          <t>☐</t>
        </is>
      </c>
      <c r="B90" s="296" t="inlineStr">
        <is>
          <t>Lime juice (48oz bottles)</t>
        </is>
      </c>
      <c r="C90" s="170" t="inlineStr">
        <is>
          <t>Daily Special</t>
        </is>
      </c>
      <c r="D90" s="170">
        <f>'Jug Recipes'!D27</f>
        <v/>
      </c>
      <c r="E90" s="170" t="inlineStr">
        <is>
          <t>bottles</t>
        </is>
      </c>
      <c r="F90" s="297">
        <f>'Jug Recipes'!F27</f>
        <v/>
      </c>
      <c r="G90" s="170" t="inlineStr">
        <is>
          <t>Amazon</t>
        </is>
      </c>
      <c r="H90" s="283" t="n"/>
      <c r="I90" s="286">
        <f>IF(AND($H90="",$J90=""),"· not ordered",IF($H90="","⚠ REVIEW",IF(N($H90)&gt;=N($D90),"✅ MET","⚠ SHORT "&amp;TEXT(N($D90)-N($H90),"0")&amp;" "&amp;$E90)))</f>
        <v/>
      </c>
      <c r="J90" s="170" t="inlineStr">
        <is>
          <t>Suggested pick: Rose's Lime Juice, SWEETENED, 33.8oz (1L) Pack of 2 — $24.56</t>
        </is>
      </c>
      <c r="L90" s="170" t="inlineStr">
        <is>
          <t>*** FLAG 18 Aug 2026 — TWO ISSUES, NOT ONE. *** (1) Rose's is a SWEETENED lime cordial (Gimlet-style), not the plain unsweetened bottled lime the jug recipes were balanced around (Cherry Bomb, Smoke Test, Red Flag all pair bottled lime against their own separately-dosed sugar) — expect these jugs to read sweeter/less tart than designed unless the syrup side gets dialed back to compensate. (2) SIZE SHORT: 2 x 33.8oz = 67.6oz against the ~99oz raw draw this line was sized for (3 x 48oz bottles = 144oz) — about a third of the volume. Either grab a second pack (still sweetened) or a plain unsweetened lime juice to top up the rest; don't treat this as done.</t>
        </is>
      </c>
    </row>
    <row r="91" ht="15.75" customHeight="1" s="171">
      <c r="A91" s="170" t="inlineStr">
        <is>
          <t>☐</t>
        </is>
      </c>
      <c r="B91" s="192" t="inlineStr">
        <is>
          <t>Maraschino cherries</t>
        </is>
      </c>
      <c r="C91" s="170" t="inlineStr">
        <is>
          <t>Daily Special</t>
        </is>
      </c>
      <c r="D91" s="170">
        <f>'Jug Recipes'!D28</f>
        <v/>
      </c>
      <c r="E91" s="170" t="inlineStr">
        <is>
          <t>jars</t>
        </is>
      </c>
      <c r="F91" s="235">
        <f>'Jug Recipes'!F28</f>
        <v/>
      </c>
      <c r="G91" s="170" t="inlineStr">
        <is>
          <t>Total Wine (SF)</t>
        </is>
      </c>
      <c r="H91" s="283" t="n">
        <v>2</v>
      </c>
      <c r="I91" s="286">
        <f>IF(AND($H91="",$J91=""),"· not ordered",IF($H91="","⚠ REVIEW",IF(N($H91)&gt;=N($D91),"✅ MET","⚠ SHORT "&amp;TEXT(N($D91)-N($H91),"0")&amp;" "&amp;$E91)))</f>
        <v/>
      </c>
      <c r="J91" s="170" t="inlineStr">
        <is>
          <t>Bought at Total Wine, 19 Aug 2026. Qty assumed to match the 2-jar need since no count was given — correct me if it was a different amount.</t>
        </is>
      </c>
      <c r="L91" s="281" t="inlineStr">
        <is>
          <t>Wed Cherry Limeade garnish
*** VENDOR CHECK 13 Aug 2026: AMAZON IS THE RIGHT VENDOR HERE, not Costco: Luxardo sits at only ~152 warehouses (~24%), and Costco's bulk maraschinos are Business Center items — nearest is Las Vegas. Amazon has Luxardo 400 g in 1/2/4-packs plus 3 kg and 12 lb bar formats. ***</t>
        </is>
      </c>
    </row>
    <row r="92" ht="15.75" customHeight="1" s="171">
      <c r="A92" s="170" t="inlineStr">
        <is>
          <t>☐</t>
        </is>
      </c>
      <c r="B92" s="192" t="inlineStr">
        <is>
          <t>Cold brew coffee grounds — ground, coarse if possible</t>
        </is>
      </c>
      <c r="C92" s="170" t="inlineStr">
        <is>
          <t>Camp bulk</t>
        </is>
      </c>
      <c r="D92" s="197">
        <f>'Camp Drinks'!E6</f>
        <v/>
      </c>
      <c r="E92" s="170" t="inlineStr">
        <is>
          <t>lbs</t>
        </is>
      </c>
      <c r="F92" s="235">
        <f>'Camp Drinks'!H6</f>
        <v/>
      </c>
      <c r="G92" s="170" t="inlineStr">
        <is>
          <t>Amazon</t>
        </is>
      </c>
      <c r="H92" s="283" t="n">
        <v>14</v>
      </c>
      <c r="I92" s="286">
        <f>IF(AND($H92="",$J92=""),"· not ordered",IF($H92="","⚠ REVIEW",IF(N($H92)&gt;=N($D92),"✅ MET","⚠ SHORT "&amp;TEXT(N($D92)-N($H92),"0")&amp;" "&amp;$E92)))</f>
        <v/>
      </c>
      <c r="J92" s="170" t="inlineStr">
        <is>
          <t>7 x 2lb bags, ground, $23.99/bag = $167.93 total for 14 lb — same order as before, reconfirmed 19 Aug 2026.</t>
        </is>
      </c>
      <c r="L92" s="170" t="inlineStr">
        <is>
          <t>SWITCHED FROM WHOLE BEAN TO GROUND 18 Aug 2026 — no grinder on the truck, so this closes the flag from earlier the same day. RATIO CORRECTED at the same time: the model's original 1 lb/finished-gallon (=24 lb target) didn't fully account for the concentrate-then-cut-1:1 brew method roughly doubling finished volume versus a full-strength brew. Corrected to 0.5 lb/gal (Assumptions B83, cross-checked against standard home cold-brew concentrate ratios and independently verified by the user) = 12 lb needed. 14 lb ordered (7 x 2lb bags) carries a ~2 lb buffer. PRICE CONFIRMED 18 Aug 2026: $23.99/2lb bag = $12.00/lb (Assumptions B85), real receipt, $167.93 actual spend for the 14 lb bought — the Est. $ column here is the 12 lb NEEDED at that rate ($144), not the literal $167.93 spent on the extra buffer pound. STILL WORTH A REAL-WORLD CHECK: brew a test batch before playa if possible and taste it — 0.5 lb/gal is a solid default, not a guarantee; if it reads weak, cut less water at serving time rather than assuming the lb count is wrong.</t>
        </is>
      </c>
    </row>
    <row r="93" ht="15.75" customHeight="1" s="171">
      <c r="A93" s="170" t="inlineStr">
        <is>
          <t>☐</t>
        </is>
      </c>
      <c r="B93" s="170" t="inlineStr">
        <is>
          <t>Electrolyte mix (powder)</t>
        </is>
      </c>
      <c r="C93" s="170" t="inlineStr">
        <is>
          <t>Camp bulk</t>
        </is>
      </c>
      <c r="D93" s="170">
        <f>'Camp Drinks'!E7</f>
        <v/>
      </c>
      <c r="E93" s="170" t="inlineStr">
        <is>
          <t>canisters</t>
        </is>
      </c>
      <c r="F93" s="170">
        <f>'Camp Drinks'!H7</f>
        <v/>
      </c>
      <c r="G93" s="170" t="inlineStr">
        <is>
          <t>Amazon</t>
        </is>
      </c>
      <c r="H93" s="170" t="n">
        <v>5</v>
      </c>
      <c r="I93" s="170">
        <f>IF(AND($H93="",$J93=""),"· not ordered",IF($H93="","⚠ REVIEW",IF(N($H93)&gt;=N($D93),"✅ MET","⚠ SHORT "&amp;TEXT(N($D93)-N($H93),"0")&amp;" "&amp;$E93)))</f>
        <v/>
      </c>
      <c r="J93" s="170" t="inlineStr">
        <is>
          <t>Confirmed included in the most recent Amazon order, 19 Aug 2026.</t>
        </is>
      </c>
      <c r="L93" s="170" t="inlineStr">
        <is>
          <t>MARKED ORDERED 19 Aug 2026 per your confirmation. *** CARRYING THE FORMAT FLAG FORWARD, THOUGH, SINCE NO NEW PRODUCT WAS NAMED: *** if this is still the Vega Sport 4.9oz single-serve tubs from the earlier cart, the volume math still doesn't obviously reach 40 gallons across 8 days (Gatorade-style bulk canisters were the original basis, ~6 gal/canister). If you switched to a bulk canister product this round, ignore this — just didn't want the concern to quietly vanish if the product didn't actually change.</t>
        </is>
      </c>
      <c r="R93" s="170" t="n"/>
      <c r="S93" s="170" t="n"/>
      <c r="T93" s="170" t="n"/>
      <c r="U93" s="170" t="n"/>
    </row>
    <row r="94" ht="15.75" customHeight="1" s="171">
      <c r="A94" s="170" t="inlineStr">
        <is>
          <t>☐</t>
        </is>
      </c>
      <c r="B94" s="170" t="inlineStr">
        <is>
          <t>Lapsang souchong loose leaf (Smoke Test)</t>
        </is>
      </c>
      <c r="C94" s="170" t="inlineStr">
        <is>
          <t>Daily Special</t>
        </is>
      </c>
      <c r="D94" s="170">
        <f>'Jug Recipes'!D30</f>
        <v/>
      </c>
      <c r="E94" s="170" t="inlineStr">
        <is>
          <t>bags</t>
        </is>
      </c>
      <c r="F94" s="170">
        <f>'Jug Recipes'!F30</f>
        <v/>
      </c>
      <c r="G94" s="170" t="inlineStr">
        <is>
          <t>Amazon</t>
        </is>
      </c>
      <c r="H94" s="170" t="n">
        <v>1</v>
      </c>
      <c r="I94" s="170">
        <f>IF(AND($H94="",$J94=""),"· not ordered",IF($H94="","⚠ REVIEW",IF(N($H94)&gt;=N($D94),"✅ MET","⚠ SHORT "&amp;TEXT(N($D94)-N($H94),"0")&amp;" "&amp;$E94)))</f>
        <v/>
      </c>
      <c r="J94" s="170" t="inlineStr">
        <is>
          <t>Lapsang souchong, confirmed ordered 19 Aug 2026.</t>
        </is>
      </c>
      <c r="L94" s="170" t="inlineStr">
        <is>
          <t>Tue Smoke Test — ~2oz dry leaf per jug (Assumptions B142) *** PART OF THIS IS SPOKEN FOR BY THE DAILY TEA STANDING TEA (Assumptions B252-B255) — do not reallocate the spare without checking there. ***</t>
        </is>
      </c>
    </row>
    <row r="95" ht="15.75" customHeight="1" s="171">
      <c r="A95" s="170" t="inlineStr">
        <is>
          <t>☐</t>
        </is>
      </c>
      <c r="B95" s="170" t="inlineStr">
        <is>
          <t>Dried hibiscus flowers (Red Flag)</t>
        </is>
      </c>
      <c r="C95" s="170" t="inlineStr">
        <is>
          <t>Daily Special</t>
        </is>
      </c>
      <c r="D95" s="170">
        <f>'Jug Recipes'!D29</f>
        <v/>
      </c>
      <c r="E95" s="170" t="inlineStr">
        <is>
          <t>lb bags</t>
        </is>
      </c>
      <c r="F95" s="170">
        <f>'Jug Recipes'!F29</f>
        <v/>
      </c>
      <c r="G95" s="170" t="inlineStr">
        <is>
          <t>Amazon</t>
        </is>
      </c>
      <c r="H95" s="170" t="n">
        <v>1</v>
      </c>
      <c r="I95" s="170">
        <f>IF(AND($H95="",$J95=""),"· not ordered",IF($H95="","⚠ REVIEW",IF(N($H95)&gt;=N($D95),"✅ MET","⚠ SHORT "&amp;TEXT(N($D95)-N($H95),"0")&amp;" "&amp;$E95)))</f>
        <v/>
      </c>
      <c r="J95" s="170" t="inlineStr">
        <is>
          <t>Confirmed ordered on Amazon, 19 Aug 2026.</t>
        </is>
      </c>
      <c r="L95" s="170" t="inlineStr">
        <is>
          <t>Wed Red Flag — agua de Jamaica *** PART OF THIS IS SPOKEN FOR BY THE DAILY TEA STANDING TEA (Assumptions B252-B255) — do not reallocate the spare without checking there. ***</t>
        </is>
      </c>
    </row>
    <row r="96" ht="15.75" customHeight="1" s="171">
      <c r="A96" s="170" t="inlineStr">
        <is>
          <t>☐</t>
        </is>
      </c>
      <c r="B96" s="170" t="inlineStr">
        <is>
          <t>Winter melon tea blocks (dong gua cha)</t>
        </is>
      </c>
      <c r="C96" s="170" t="inlineStr">
        <is>
          <t>Camp bulk</t>
        </is>
      </c>
      <c r="D96" s="170">
        <f>'Camp Drinks'!E8</f>
        <v/>
      </c>
      <c r="E96" s="170" t="inlineStr">
        <is>
          <t>blocks</t>
        </is>
      </c>
      <c r="F96" s="170">
        <f>'Camp Drinks'!H8</f>
        <v/>
      </c>
      <c r="G96" s="170" t="inlineStr">
        <is>
          <t>Amazon</t>
        </is>
      </c>
      <c r="H96" s="170" t="n">
        <v>4</v>
      </c>
      <c r="I96" s="170">
        <f>IF(AND($H96="",$J96=""),"· not ordered",IF($H96="","⚠ REVIEW",IF(N($H96)&gt;=N($D96),"✅ MET","⚠ SHORT "&amp;TEXT(N($D96)-N($H96),"0")&amp;" "&amp;$E96)))</f>
        <v/>
      </c>
      <c r="J96" s="170" t="inlineStr">
        <is>
          <t>Winter melon tea, confirmed ordered 19 Aug 2026 — qty assumed to match the 4-unit need since no specific count was given; correct me if it's actually a different amount.</t>
        </is>
      </c>
      <c r="L96" s="170" t="inlineStr">
        <is>
          <t>REPLACED SUAN MEI TANG. This is the exact product flagged during the original research (13.1oz Sun Right). Yield estimate (~1.3 gal/unit) is still unconfirmed against the real product's own instructions — check once it arrives.</t>
        </is>
      </c>
    </row>
    <row r="97" ht="15.75" customHeight="1" s="171">
      <c r="A97" s="170" t="inlineStr">
        <is>
          <t>☐</t>
        </is>
      </c>
      <c r="B97" s="170" t="inlineStr">
        <is>
          <t>Mugicha teabags (roasted barley tea)</t>
        </is>
      </c>
      <c r="C97" s="170" t="inlineStr">
        <is>
          <t>Camp bulk</t>
        </is>
      </c>
      <c r="D97" s="170">
        <f>'Camp Drinks'!E9</f>
        <v/>
      </c>
      <c r="E97" s="170" t="inlineStr">
        <is>
          <t>boxes</t>
        </is>
      </c>
      <c r="F97" s="170">
        <f>'Camp Drinks'!H9</f>
        <v/>
      </c>
      <c r="G97" s="170" t="inlineStr">
        <is>
          <t>Amazon</t>
        </is>
      </c>
      <c r="H97" s="170" t="n">
        <v>1</v>
      </c>
      <c r="I97" s="170">
        <f>IF(AND($H97="",$J97=""),"· not ordered",IF($H97="","⚠ REVIEW",IF(N($H97)&gt;=N($D97),"✅ MET","⚠ SHORT "&amp;TEXT(N($D97)-N($H97),"0")&amp;" "&amp;$E97)))</f>
        <v/>
      </c>
      <c r="J97" s="170" t="inlineStr">
        <is>
          <t>Confirmed ordered on Amazon, 19 Aug 2026.</t>
        </is>
      </c>
      <c r="L97" s="170" t="inlineStr">
        <is>
          <t>Camp drink — 5 gal, unsweetened</t>
        </is>
      </c>
    </row>
    <row r="98" ht="15.75" customHeight="1" s="171">
      <c r="A98" s="170" t="inlineStr">
        <is>
          <t>☐</t>
        </is>
      </c>
      <c r="B98" s="170" t="inlineStr">
        <is>
          <t>Green tea teabags (iced, unsweetened)</t>
        </is>
      </c>
      <c r="C98" s="170" t="inlineStr">
        <is>
          <t>Camp bulk</t>
        </is>
      </c>
      <c r="D98" s="170">
        <f>'Camp Drinks'!E10</f>
        <v/>
      </c>
      <c r="E98" s="170" t="inlineStr">
        <is>
          <t>boxes</t>
        </is>
      </c>
      <c r="F98" s="170">
        <f>'Camp Drinks'!H10</f>
        <v/>
      </c>
      <c r="G98" s="170" t="inlineStr">
        <is>
          <t>Amazon</t>
        </is>
      </c>
      <c r="H98" s="170" t="n">
        <v>1</v>
      </c>
      <c r="I98" s="170">
        <f>IF(AND($H98="",$J98=""),"· not ordered",IF($H98="","⚠ REVIEW",IF(N($H98)&gt;=N($D98),"✅ MET","⚠ SHORT "&amp;TEXT(N($D98)-N($H98),"0")&amp;" "&amp;$E98)))</f>
        <v/>
      </c>
      <c r="J98" s="170" t="inlineStr">
        <is>
          <t>Confirmed ordered on Amazon, 19 Aug 2026 (TAZO Organic Zen — still flavored, not plain, see notes).</t>
        </is>
      </c>
      <c r="L98" s="170" t="inlineStr">
        <is>
          <t>*** FLAG 18 Aug 2026 — FLAVORED, NOT PLAIN. *** TAZO Zen is a green tea blend with spearmint, lemon verbena and lemongrass already in it. This tea is the base for the Green Tea Refresher, Sakura Kisses, and shares the camp dispenser and the Daily Tea standing tea rotation, all of which assumed a neutral/plain green tea that other flavors (peach syrup, sakura, tangerine, hibiscus/lapsang in rotation) layer on top of. The mint/citrus notes may clash or may work fine — worth a taste test before committing all 96 bags to service. Bag count itself is right (matches the 1 box this line needs).</t>
        </is>
      </c>
    </row>
    <row r="99" ht="15.75" customHeight="1" s="171">
      <c r="A99" s="170" t="inlineStr">
        <is>
          <t>☐</t>
        </is>
      </c>
      <c r="B99" s="170" t="inlineStr">
        <is>
          <t>Food-safe containers, 1 gallon (sealed)</t>
        </is>
      </c>
      <c r="C99" s="170" t="inlineStr">
        <is>
          <t>Hardware</t>
        </is>
      </c>
      <c r="D99" s="170" t="n">
        <v>3</v>
      </c>
      <c r="E99" s="170" t="inlineStr">
        <is>
          <t>each</t>
        </is>
      </c>
      <c r="F99" s="170">
        <f>D99*4.35</f>
        <v/>
      </c>
      <c r="G99" s="170" t="inlineStr">
        <is>
          <t>Amazon</t>
        </is>
      </c>
      <c r="H99" s="170" t="n">
        <v>3</v>
      </c>
      <c r="I99" s="170">
        <f>IF(AND($H99="",$J99=""),"· not ordered",IF($H99="","⚠ REVIEW",IF(N($H99)&gt;=N($D99),"✅ MET","⚠ SHORT "&amp;TEXT(N($D99)-N($H99),"0")&amp;" "&amp;$E99)))</f>
        <v/>
      </c>
      <c r="J99" s="170" t="inlineStr">
        <is>
          <t>1 x 3-count Cambro 4 qt pack. Exactly the 3 needed — and they now hold cold brew concentrate nightly.</t>
        </is>
      </c>
      <c r="K99" s="170" t="inlineStr">
        <is>
          <t>https://www.costco.com/p/-/cambro-round-4-quart-food-storage-container-with-lid-3-count/100577351?langId=-1</t>
        </is>
      </c>
      <c r="L99" s="170" t="inlineStr">
        <is>
          <t>REPRICED: $4.35 ea — Cambro 4 qt (1 gal) round PP container with lid, 3-pack $12.99 at WebstaurantStore, NSF. RAISED FROM 2 TO 3, which is what the 3-pack gives you anyway: the lemonade is ~3 gal now that it is mixed in one session, and two containers do not hold three gallons. The Localhost hibiscus does NOT need one — it is held as a quart of concentrate. Set Qty to 0 if already owned.
*** VENDOR CHECK 13 Aug 2026: EXACT MATCH, best-fit item on the list: Cambro RFS4PPSW3190 4 qt round, SET OF 3 (#B002PMV76M), genuine NSF commercial. One purchase covers this whole line. ***</t>
        </is>
      </c>
    </row>
    <row r="100" ht="15.75" customHeight="1" s="171">
      <c r="A100" s="170" t="inlineStr">
        <is>
          <t>☐</t>
        </is>
      </c>
      <c r="B100" s="170" t="inlineStr">
        <is>
          <t>Yuzu juice (13oz bottles) — Clear Cache</t>
        </is>
      </c>
      <c r="C100" s="170" t="inlineStr">
        <is>
          <t>Built drink</t>
        </is>
      </c>
      <c r="D100" s="170">
        <f>'Other Consumables'!D56</f>
        <v/>
      </c>
      <c r="E100" s="170" t="inlineStr">
        <is>
          <t>bottles</t>
        </is>
      </c>
      <c r="F100" s="170">
        <f>D100*Assumptions!$B$246</f>
        <v/>
      </c>
      <c r="G100" s="170" t="inlineStr">
        <is>
          <t>Amazon</t>
        </is>
      </c>
      <c r="H100" s="170" t="n">
        <v>2</v>
      </c>
      <c r="I100" s="170">
        <f>IF(AND($H100="",$J100=""),"· not ordered",IF($H100="","⚠ REVIEW",IF(N($H100)&gt;=N($D100),"✅ MET","⚠ SHORT "&amp;TEXT(N($D100)-N($H100),"0")&amp;" "&amp;$E100)))</f>
        <v/>
      </c>
      <c r="J100" s="170" t="inlineStr">
        <is>
          <t>Yuzu juice, confirmed ordered 19 Aug 2026.</t>
        </is>
      </c>
      <c r="K100" s="170" t="n"/>
      <c r="L100" s="170" t="inlineStr">
        <is>
          <t>QUANTITY CLEARS: 2 x 13oz = 26oz against the 25oz requirement (buffer deliberately not applied — see below), same math the model was originally built on. *** FLAG: this is YUZUCO Super Juice, which the 13 Aug vendor check specifically flagged as an acid-adjusted blend, not 100% juice — Yakami Orchard (12oz, #B002ACC8II) was the recommendation instead, but at 12oz x2 = 24oz it would have fallen 1oz short of the requirement. Net effect of buying YUZUCO: quantity is actually safer, purity is the tradeoff. THIS IS THE MOST EXPENSIVE LIQUID ON THE BAR PER OZ regardless of brand — jigger every pour, keep the second bottle sealed until the first is out.</t>
        </is>
      </c>
    </row>
    <row r="101" ht="15.75" customHeight="1" s="171">
      <c r="A101" s="170" t="inlineStr">
        <is>
          <t>☐</t>
        </is>
      </c>
      <c r="B101" s="170" t="inlineStr">
        <is>
          <t>Strainer bags, 5 gal (cold brew + tea steeping)</t>
        </is>
      </c>
      <c r="C101" s="170" t="inlineStr">
        <is>
          <t>Hardware</t>
        </is>
      </c>
      <c r="D101" s="170" t="n">
        <v>6</v>
      </c>
      <c r="E101" s="170" t="inlineStr">
        <is>
          <t>bags</t>
        </is>
      </c>
      <c r="F101" s="170">
        <f>D101*2.5</f>
        <v/>
      </c>
      <c r="G101" s="170" t="inlineStr">
        <is>
          <t>Amazon</t>
        </is>
      </c>
      <c r="H101" s="170" t="n">
        <v>6</v>
      </c>
      <c r="I101" s="170">
        <f>IF(AND($H101="",$J101=""),"· not ordered",IF($H101="","⚠ REVIEW",IF(N($H101)&gt;=N($D101),"✅ MET","⚠ SHORT "&amp;TEXT(N($D101)-N($H101),"0")&amp;" "&amp;$E101)))</f>
        <v/>
      </c>
      <c r="J101" s="170" t="inlineStr">
        <is>
          <t>Nut Milk Bags (strainer bag equivalent), confirmed ordered 19 Aug 2026.</t>
        </is>
      </c>
      <c r="L101" s="170" t="inlineStr">
        <is>
          <t>ADDED 14 Aug 2026. Grounds go IN the bag and the bag comes OUT — this is what removes the second filtration pass and makes cold brew a lift-and-drain job instead of a straining job. ALSO USED FOR EVERY TEA STEEP: winter melon tea, mugicha, camp green tea, the Daily Tea standing tea, Tuesday lapsang, Wednesday hibiscus, Sat/Sun green tea jugs. Six because several run at once and they tear.
*** FLAG 18 Aug 2026: right count (6), different format than assumed. *** The model pictured 5 gal elastic-top paint-strainer bags; these are 12"x10" cheesecloth nut-milk bags — smaller and less rigid. Fine for tea steeps, but worth a gut-check for the cold brew: 24 lb of coarse grounds over 8 days is real bulk, and a cheesecloth bag may need a bigger vessel underneath it (a bucket, not just a jug) to hold its shape while it steeps. Not a hard blocker, just don't assume it behaves exactly like a rigid 5 gal paint strainer.</t>
        </is>
      </c>
    </row>
    <row r="102" ht="15.75" customHeight="1" s="171">
      <c r="A102" s="170" t="inlineStr">
        <is>
          <t>☐</t>
        </is>
      </c>
      <c r="B102" s="170" t="inlineStr">
        <is>
          <t>Ladles (stainless steel, for jug dispensers)</t>
        </is>
      </c>
      <c r="C102" s="170" t="inlineStr">
        <is>
          <t>Hardware</t>
        </is>
      </c>
      <c r="D102" s="170" t="n">
        <v>3</v>
      </c>
      <c r="E102" s="170" t="inlineStr">
        <is>
          <t>each</t>
        </is>
      </c>
      <c r="F102" s="170">
        <f>D102*8</f>
        <v/>
      </c>
      <c r="G102" s="170" t="inlineStr">
        <is>
          <t>Amazon</t>
        </is>
      </c>
      <c r="H102" s="170" t="n">
        <v>3</v>
      </c>
      <c r="I102" s="170">
        <f>IF(AND($H102="",$J102=""),"· not ordered",IF($H102="","⚠ REVIEW",IF(N($H102)&gt;=N($D102),"✅ MET","⚠ SHORT "&amp;TEXT(N($D102)-N($H102),"0")&amp;" "&amp;$E102)))</f>
        <v/>
      </c>
      <c r="J102" s="170" t="inlineStr">
        <is>
          <t>Ladles, confirmed ordered 19 Aug 2026.</t>
        </is>
      </c>
      <c r="L102" s="170" t="inlineStr">
        <is>
          <t>ADDED 18 Aug 2026. One per 10 L jug dispenser (3 dispensers total, Purchase List row 64) — a spigot alone clogs on anything with real pulp or floating solids (Cherry Bomb's cherries, Hard Reset's watermelon pulp, Red Flag's hibiscus bits), so a ladle is the fallback way to serve those jugs without babysitting the spigot. Qty is a starting assumption (1:1 with dispensers), not derived from a recipe — adjust freely. Est. $8 each is a rough Amazon stainless punch-ladle price; exact price not pinned down by search.</t>
        </is>
      </c>
      <c r="R102" s="170">
        <f>R23+R24+R25+R26+R27+R10+R28+R79</f>
        <v/>
      </c>
      <c r="S102" s="170">
        <f>S23+S24+S25+S26+S27+S10+S28+S79</f>
        <v/>
      </c>
      <c r="T102" s="170">
        <f>T23+T24+T25+T26+T27+T10+T28+T79</f>
        <v/>
      </c>
      <c r="U102" s="170">
        <f>U23+U24+U25+U26+U27+U10+U28+U79</f>
        <v/>
      </c>
    </row>
    <row r="103" ht="15.75" customHeight="1" s="171">
      <c r="A103" s="170" t="inlineStr">
        <is>
          <t>☐</t>
        </is>
      </c>
      <c r="B103" s="170" t="inlineStr">
        <is>
          <t>Fee Brothers Habanero Bitters (5 oz)</t>
        </is>
      </c>
      <c r="C103" s="170" t="inlineStr">
        <is>
          <t>Built drink</t>
        </is>
      </c>
      <c r="D103" s="170" t="n">
        <v>1</v>
      </c>
      <c r="E103" s="170" t="inlineStr">
        <is>
          <t>bottles</t>
        </is>
      </c>
      <c r="F103" s="170">
        <f>D103*13.49</f>
        <v/>
      </c>
      <c r="G103" s="170" t="inlineStr">
        <is>
          <t>Amazon</t>
        </is>
      </c>
      <c r="H103" s="170" t="n">
        <v>1</v>
      </c>
      <c r="I103" s="170">
        <f>IF(AND($H103="",$J103=""),"· not ordered",IF($H103="","⚠ REVIEW",IF(N($H103)&gt;=N($D103),"✅ MET","⚠ SHORT "&amp;TEXT(N($D103)-N($H103),"0")&amp;" "&amp;$E103)))</f>
        <v/>
      </c>
      <c r="J103" s="170" t="inlineStr">
        <is>
          <t>Fee Brothers Habanero Bitters, confirmed ordered 19 Aug 2026.</t>
        </is>
      </c>
      <c r="L103" s="170" t="inlineStr">
        <is>
          <t>ADDED 18 Aug 2026 for the new Paloma SPICY option (Dirty Soda - Built Drinks row 20 / Menu Board row 22) — 2-3 drops on request. One 5 oz bottle covers the whole week's dashes; flat one-bottle buy, same pattern as the Angostura bitters on Bar Add-Ons row 10 and the Fee Brothers Cherry Bitters on row 51.</t>
        </is>
      </c>
      <c r="R103" s="170" t="n"/>
      <c r="S103" s="170" t="n"/>
      <c r="T103" s="170" t="n"/>
      <c r="U103" s="170" t="n"/>
    </row>
    <row r="104" ht="15.75" customHeight="1" s="171">
      <c r="A104" s="170" t="inlineStr">
        <is>
          <t>☐</t>
        </is>
      </c>
      <c r="B104" s="170" t="inlineStr">
        <is>
          <t>Boudan Melon Syrup (21.3 oz) — Catboy Snot</t>
        </is>
      </c>
      <c r="C104" s="170" t="inlineStr">
        <is>
          <t>Syrup</t>
        </is>
      </c>
      <c r="D104" s="170">
        <f>CEILING('Other Consumables'!$C$10/Assumptions!$B$265,1)</f>
        <v/>
      </c>
      <c r="E104" s="170" t="inlineStr">
        <is>
          <t>bottles</t>
        </is>
      </c>
      <c r="F104" s="170">
        <f>D104*Assumptions!$B$266</f>
        <v/>
      </c>
      <c r="G104" s="170" t="inlineStr">
        <is>
          <t>Amazon</t>
        </is>
      </c>
      <c r="H104" s="170" t="n">
        <v>1</v>
      </c>
      <c r="I104" s="170">
        <f>IF(AND($H104="",$J104=""),"· not ordered",IF($H104="","⚠ REVIEW",IF(N($H104)&gt;=N($D104),"✅ MET","⚠ SHORT "&amp;TEXT(N($D104)-N($H104),"0")&amp;" "&amp;$E104)))</f>
        <v/>
      </c>
      <c r="J104" s="170" t="inlineStr">
        <is>
          <t>Confirmed ordered on Amazon, 19 Aug 2026.</t>
        </is>
      </c>
      <c r="L104" s="170" t="inlineStr">
        <is>
          <t>ADDED 18 Aug 2026, split off the pooled Torani line (row 47) — Marjan Boudan Melon Syrup, confirmed real and on Amazon. Catboy Snot's only syrup draw (12.5 oz raw / 14.4 oz buffered), comfortably inside one 21.3 oz bottle. Price ($10) is an unchecked estimate — confirm at checkout.</t>
        </is>
      </c>
    </row>
    <row r="105" ht="15.75" customHeight="1" s="171">
      <c r="A105" s="170" t="inlineStr">
        <is>
          <t>☐</t>
        </is>
      </c>
      <c r="B105" s="170" t="inlineStr">
        <is>
          <t>Storage containers, 68oz (bulk garnish/fruit prep)</t>
        </is>
      </c>
      <c r="C105" s="170" t="inlineStr">
        <is>
          <t>Hardware</t>
        </is>
      </c>
      <c r="D105" s="170" t="n">
        <v>6</v>
      </c>
      <c r="E105" s="170" t="inlineStr">
        <is>
          <t>each</t>
        </is>
      </c>
      <c r="F105" s="170" t="n">
        <v>44</v>
      </c>
      <c r="G105" s="170" t="inlineStr">
        <is>
          <t>Amazon</t>
        </is>
      </c>
      <c r="H105" s="170" t="n">
        <v>6</v>
      </c>
      <c r="I105" s="170">
        <f>IF(AND($H105="",$J105=""),"· not ordered",IF($H105="","⚠ REVIEW",IF(N($H105)&gt;=N($D105),"✅ MET","⚠ SHORT "&amp;TEXT(N($D105)-N($H105),"0")&amp;" "&amp;$E105)))</f>
        <v/>
      </c>
      <c r="J105" s="170" t="inlineStr">
        <is>
          <t>Storage containers, confirmed ordered 19 Aug 2026.</t>
        </is>
      </c>
      <c r="L105" s="170" t="inlineStr">
        <is>
          <t>UPDATED 18 Aug 2026 to match the real purchase — this is bulk fruit/garnish PREP AND OVERNIGHT STORAGE (68oz each, airtight, stackable), not a bar-top multi-compartment caddy for immediate service. Maps to Supplies row 25 ('Resealable fruit containers, set of 6') rather than row 21 ('Garnish caddy, multi-compartment'), which is STILL UNBOUGHT — a proper bar-side caddy for citrus wheels/cherries/mint at point of service is a separate gap if you want one.</t>
        </is>
      </c>
    </row>
    <row r="106" ht="15.75" customHeight="1" s="171">
      <c r="A106" s="170" t="inlineStr">
        <is>
          <t>☐</t>
        </is>
      </c>
      <c r="B106" s="170" t="inlineStr">
        <is>
          <t>Fee Brothers Old Fashion Bitters (5oz) — BONUS, no recipe tie</t>
        </is>
      </c>
      <c r="C106" s="170" t="inlineStr">
        <is>
          <t>Built drink</t>
        </is>
      </c>
      <c r="D106" s="170" t="n">
        <v>1</v>
      </c>
      <c r="E106" s="170" t="inlineStr">
        <is>
          <t>bottles</t>
        </is>
      </c>
      <c r="F106" s="170" t="n">
        <v>13.05</v>
      </c>
      <c r="G106" s="170" t="inlineStr">
        <is>
          <t>Amazon</t>
        </is>
      </c>
      <c r="H106" s="170" t="n">
        <v>1</v>
      </c>
      <c r="I106" s="170">
        <f>IF(AND($H106="",$J106=""),"· not ordered",IF($H106="","⚠ REVIEW",IF(N($H106)&gt;=N($D106),"✅ MET","⚠ SHORT "&amp;TEXT(N($D106)-N($H106),"0")&amp;" "&amp;$E106)))</f>
        <v/>
      </c>
      <c r="J106" s="170" t="inlineStr">
        <is>
          <t>Fee Brothers Old Fashion Bitters, confirmed ordered 19 Aug 2026.</t>
        </is>
      </c>
      <c r="L106" s="170" t="inlineStr">
        <is>
          <t>ADDED 18 Aug 2026, unplanned bonus alongside the Cherry (row 51) and Habanero (row 95) bitters — no drink on the menu calls for it specifically. Extra variety for the 'Bitwise' soda + bitters build (Bar Add-Ons row 27, currently Angostura) or general bar use.</t>
        </is>
      </c>
    </row>
    <row r="107" ht="15.75" customHeight="1" s="171">
      <c r="A107" s="170" t="inlineStr">
        <is>
          <t>☐</t>
        </is>
      </c>
      <c r="B107" s="170" t="inlineStr">
        <is>
          <t>Vodka (1.75L handles) — Secret Party</t>
        </is>
      </c>
      <c r="C107" s="170" t="inlineStr">
        <is>
          <t>Liquor</t>
        </is>
      </c>
      <c r="D107" s="170">
        <f>Assumptions!$B$273</f>
        <v/>
      </c>
      <c r="E107" s="170" t="inlineStr">
        <is>
          <t>handles</t>
        </is>
      </c>
      <c r="F107" s="170">
        <f>D107*Assumptions!$B$275</f>
        <v/>
      </c>
      <c r="G107" s="170" t="inlineStr">
        <is>
          <t>Costco</t>
        </is>
      </c>
      <c r="I107" s="170">
        <f>IF(AND($H107="",$J107=""),"· not ordered",IF($H107="","⚠ REVIEW",IF(N($H107)&gt;=N($D107),"✅ MET","⚠ SHORT "&amp;TEXT(N($D107)-N($H107),"0")&amp;" "&amp;$E107)))</f>
        <v/>
      </c>
      <c r="L107" s="170" t="inlineStr">
        <is>
          <t>Off-menu vodka for a camp mate's private/secret party, 21 Aug 2026 ask — a separate SKU/format from the 750ml Vodka already on row 31 (that one still only covers the regular menu's optional-liquor pours). See Assumptions row 272 and Dirty Soda - Built Drinks row 26 for the build-out. Sized at ~394 servings capacity (10 handles x 1.75L / 1.5oz pour) — see Assumptions B278 for the math, and the 6-way split on B279:B284 for how that capacity is allocated.</t>
        </is>
      </c>
    </row>
    <row r="108" ht="15.75" customHeight="1" s="171">
      <c r="A108" s="170" t="inlineStr">
        <is>
          <t>☐</t>
        </is>
      </c>
      <c r="B108" s="170" t="inlineStr">
        <is>
          <t>Cranberry juice (64oz jugs) — Secret Party</t>
        </is>
      </c>
      <c r="C108" s="170" t="inlineStr">
        <is>
          <t>Built drink</t>
        </is>
      </c>
      <c r="D108" s="170">
        <f>'Other Consumables'!D59</f>
        <v/>
      </c>
      <c r="E108" s="170" t="inlineStr">
        <is>
          <t>bottles</t>
        </is>
      </c>
      <c r="F108" s="170">
        <f>D108*Assumptions!$B$296</f>
        <v/>
      </c>
      <c r="G108" s="170" t="inlineStr">
        <is>
          <t>Costco</t>
        </is>
      </c>
      <c r="I108" s="170">
        <f>IF(AND($H108="",$J108=""),"· not ordered",IF($H108="","⚠ REVIEW",IF(N($H108)&gt;=N($D108),"✅ MET","⚠ SHORT "&amp;TEXT(N($D108)-N($H108),"0")&amp;" "&amp;$E108)))</f>
        <v/>
      </c>
      <c r="L108" s="170" t="inlineStr">
        <is>
          <t>Feeds Vodka Cranberry only, Secret Party (Assumptions row 280/287). UNCHECKED product/price — confirm at checkout.</t>
        </is>
      </c>
    </row>
    <row r="109" ht="15.75" customHeight="1" s="171">
      <c r="A109" s="170" t="inlineStr">
        <is>
          <t>☐</t>
        </is>
      </c>
      <c r="B109" s="170" t="inlineStr">
        <is>
          <t>Orange juice (64oz cartons) — Secret Party</t>
        </is>
      </c>
      <c r="C109" s="170" t="inlineStr">
        <is>
          <t>Built drink</t>
        </is>
      </c>
      <c r="D109" s="170">
        <f>'Other Consumables'!D60</f>
        <v/>
      </c>
      <c r="E109" s="170" t="inlineStr">
        <is>
          <t>cartons</t>
        </is>
      </c>
      <c r="F109" s="170">
        <f>D109*Assumptions!$B$70</f>
        <v/>
      </c>
      <c r="G109" s="170" t="inlineStr">
        <is>
          <t>Costco</t>
        </is>
      </c>
      <c r="I109" s="170">
        <f>IF(AND($H109="",$J109=""),"· not ordered",IF($H109="","⚠ REVIEW",IF(N($H109)&gt;=N($D109),"✅ MET","⚠ SHORT "&amp;TEXT(N($D109)-N($H109),"0")&amp;" "&amp;$E109)))</f>
        <v/>
      </c>
      <c r="L109" s="170" t="inlineStr">
        <is>
          <t>Feeds the Screwdriver only, Secret Party (Assumptions row 281/288) — a fresh draw, separate from the retired Catboy Café OJ line (row 50, now $0 on purpose).</t>
        </is>
      </c>
    </row>
    <row r="110" ht="15.75" customHeight="1" s="171">
      <c r="A110" s="170" t="n"/>
      <c r="B110" s="170" t="inlineStr">
        <is>
          <t>ESTIMATED TOTAL</t>
        </is>
      </c>
      <c r="C110" s="170" t="n"/>
      <c r="D110" s="170" t="n"/>
      <c r="E110" s="170" t="n"/>
      <c r="F110" s="170">
        <f>SUM(F5:F109)</f>
        <v/>
      </c>
      <c r="G110" s="170" t="n"/>
      <c r="H110" s="170" t="n"/>
      <c r="I110" s="170" t="n"/>
      <c r="J110" s="170" t="n"/>
      <c r="L110" s="170" t="n"/>
    </row>
    <row r="111" ht="15.75" customHeight="1" s="171">
      <c r="B111" s="170" t="n"/>
      <c r="F111" s="170" t="n"/>
    </row>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2">
    <mergeCell ref="A3:G3"/>
    <mergeCell ref="A1:G1"/>
  </mergeCells>
  <conditionalFormatting sqref="H5:I92">
    <cfRule type="expression" rank="0" priority="2" equalAverage="0" aboveAverage="0" dxfId="0" text="" percent="0" bottom="0">
      <formula>ISNUMBER(SEARCH("MET",$I5))</formula>
    </cfRule>
    <cfRule type="expression" rank="0" priority="3" equalAverage="0" aboveAverage="0" dxfId="1" text="" percent="0" bottom="0">
      <formula>ISNUMBER(SEARCH("SHORT",$I5))</formula>
    </cfRule>
    <cfRule type="expression" rank="0" priority="4" equalAverage="0" aboveAverage="0" dxfId="2" text="" percent="0" bottom="0">
      <formula>ISNUMBER(SEARCH("REVIEW",$I5))</formula>
    </cfRule>
  </conditionalFormatting>
  <hyperlinks>
    <hyperlink xmlns:r="http://schemas.openxmlformats.org/officeDocument/2006/relationships" ref="C5" display="Soda"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D15" activeCellId="0" sqref="D15"/>
    </sheetView>
  </sheetViews>
  <sheetFormatPr baseColWidth="8" defaultColWidth="14.4296875" defaultRowHeight="15" zeroHeight="0" outlineLevelRow="0"/>
  <cols>
    <col width="4" customWidth="1" style="170" min="1" max="1"/>
    <col width="42" customWidth="1" style="170" min="2" max="2"/>
    <col width="8" customWidth="1" style="170" min="3" max="3"/>
    <col width="42" customWidth="1" style="170" min="4" max="4"/>
    <col width="30" customWidth="1" style="170" min="5" max="5"/>
    <col width="8.710000000000001" customWidth="1" style="170" min="6" max="26"/>
  </cols>
  <sheetData>
    <row r="1" ht="25.5" customHeight="1" s="171">
      <c r="A1" s="177" t="inlineStr">
        <is>
          <t>Supplies — Non-Consumable Bar Equipment</t>
        </is>
      </c>
    </row>
    <row r="3" ht="15" customHeight="1" s="171">
      <c r="A3" s="275" t="inlineStr">
        <is>
          <t>One-time gear, not consumed per-drink — pack it once, reuse every year. People bring their own cups, so no cups/straws here. Check off as you pack/buy.</t>
        </is>
      </c>
    </row>
    <row r="4" ht="15" customHeight="1" s="171">
      <c r="A4" s="216" t="inlineStr">
        <is>
          <t>✓</t>
        </is>
      </c>
      <c r="B4" s="216" t="inlineStr">
        <is>
          <t>Item</t>
        </is>
      </c>
      <c r="C4" s="216" t="inlineStr">
        <is>
          <t>Qty</t>
        </is>
      </c>
      <c r="D4" s="216" t="inlineStr">
        <is>
          <t>Used For</t>
        </is>
      </c>
      <c r="E4" s="216" t="inlineStr">
        <is>
          <t>Source / Location</t>
        </is>
      </c>
    </row>
    <row r="5" ht="15.75" customHeight="1" s="171">
      <c r="A5" s="280" t="inlineStr">
        <is>
          <t>☐</t>
        </is>
      </c>
      <c r="B5" s="183" t="inlineStr">
        <is>
          <t>Jigger (1oz/2oz)</t>
        </is>
      </c>
      <c r="C5" s="268" t="n">
        <v>3</v>
      </c>
      <c r="D5" s="282" t="inlineStr">
        <is>
          <t>Precise pours: syrups, pickle juice and yuzu juice on every built drink.</t>
        </is>
      </c>
      <c r="E5" s="282" t="inlineStr">
        <is>
          <t>Amazon / Restaurant Supply</t>
        </is>
      </c>
    </row>
    <row r="6" ht="15.75" customHeight="1" s="171">
      <c r="A6" s="280" t="inlineStr">
        <is>
          <t>☑</t>
        </is>
      </c>
      <c r="B6" s="183" t="inlineStr">
        <is>
          <t>Bar spoon (long)</t>
        </is>
      </c>
      <c r="C6" s="268" t="n">
        <v>3</v>
      </c>
      <c r="D6" s="282" t="inlineStr">
        <is>
          <t>Stir/layer all soda builds; dissolve agave in the SCOBY Mule.</t>
        </is>
      </c>
      <c r="E6" s="282" t="inlineStr">
        <is>
          <t>Amazon / Restaurant Supply</t>
        </is>
      </c>
    </row>
    <row r="7" ht="15.75" customHeight="1" s="171">
      <c r="A7" s="280" t="inlineStr">
        <is>
          <t>☐</t>
        </is>
      </c>
      <c r="B7" s="183" t="inlineStr">
        <is>
          <t>Muddler</t>
        </is>
      </c>
      <c r="C7" s="268" t="n">
        <v>2</v>
      </c>
      <c r="D7" s="282" t="inlineStr">
        <is>
          <t>Watermelon Sugar High (fresh mint); SCOBY Mule (agave into the kombucha).</t>
        </is>
      </c>
      <c r="E7" s="282" t="inlineStr">
        <is>
          <t>Amazon / Restaurant Supply</t>
        </is>
      </c>
    </row>
    <row r="8" ht="15.75" customHeight="1" s="171">
      <c r="A8" s="280" t="inlineStr">
        <is>
          <t>☑</t>
        </is>
      </c>
      <c r="B8" s="183" t="inlineStr">
        <is>
          <t>Whisk</t>
        </is>
      </c>
      <c r="C8" s="268" t="n">
        <v>2</v>
      </c>
      <c r="D8" s="282" t="inlineStr">
        <is>
          <t>Whore-chata (rice-milk base + cinnamon/vanilla syrup); smooth out coconut cream before batching.</t>
        </is>
      </c>
      <c r="E8" s="282" t="inlineStr">
        <is>
          <t>Camp kitchen (check first)</t>
        </is>
      </c>
    </row>
    <row r="9" ht="15.75" customHeight="1" s="171">
      <c r="A9" s="280" t="inlineStr">
        <is>
          <t>☐</t>
        </is>
      </c>
      <c r="B9" s="183" t="inlineStr">
        <is>
          <t>Blender (12V or battery)</t>
        </is>
      </c>
      <c r="C9" s="268" t="n">
        <v>1</v>
      </c>
      <c r="D9" s="282" t="inlineStr">
        <is>
          <t>Blend watermelon (+mint) for the MONDAY fresca; froth coconut-cream builds. Monday only — the Watermelon Sugar High takes carton juice now and never touches the blender.</t>
        </is>
      </c>
      <c r="E9" s="282" t="inlineStr">
        <is>
          <t>Amazon (playa-power 12V/battery)</t>
        </is>
      </c>
    </row>
    <row r="10" ht="15.75" customHeight="1" s="171">
      <c r="A10" s="280" t="inlineStr">
        <is>
          <t>☐</t>
        </is>
      </c>
      <c r="B10" s="183" t="inlineStr">
        <is>
          <t>Cocktail shaker tin (Boston shaker)</t>
        </is>
      </c>
      <c r="C10" s="268" t="n">
        <v>2</v>
      </c>
      <c r="D10" s="282" t="inlineStr">
        <is>
          <t>Quick-shake creamy builds (Shirley got Creamed, Orange Cream-sicle, The Dr's Cream/Peach Exam) without tying up the blender.</t>
        </is>
      </c>
      <c r="E10" s="282" t="inlineStr">
        <is>
          <t>Amazon / Restaurant Supply</t>
        </is>
      </c>
    </row>
    <row r="11" ht="15.75" customHeight="1" s="171">
      <c r="A11" s="280" t="inlineStr">
        <is>
          <t>☐</t>
        </is>
      </c>
      <c r="B11" s="183" t="inlineStr">
        <is>
          <t>Measuring cups (1-4 cup set)</t>
        </is>
      </c>
      <c r="C11" s="268" t="n">
        <v>2</v>
      </c>
      <c r="D11" s="282" t="inlineStr">
        <is>
          <t>Batch horchata base and the cinnamon/vanilla syrup mix ahead of rush. (Lemonade left this line 14 Aug 2026 — it is bought ready-to-drink now.)</t>
        </is>
      </c>
      <c r="E11" s="282" t="inlineStr">
        <is>
          <t>Camp kitchen (check first)</t>
        </is>
      </c>
    </row>
    <row r="12" ht="15.75" customHeight="1" s="171">
      <c r="A12" s="280" t="inlineStr">
        <is>
          <t>☑</t>
        </is>
      </c>
      <c r="B12" s="183" t="inlineStr">
        <is>
          <t>Citrus juicer/reamer</t>
        </is>
      </c>
      <c r="C12" s="268" t="n">
        <v>1</v>
      </c>
      <c r="D12" s="282" t="inlineStr">
        <is>
          <t>Lime squeezes only — Tang Dynasty, the Michelada and the Shirley variants. No lemons on the bar any more; the yuzu is bottled.</t>
        </is>
      </c>
      <c r="E12" s="282" t="inlineStr">
        <is>
          <t>Amazon / Restaurant Supply</t>
        </is>
      </c>
    </row>
    <row r="13" ht="15.75" customHeight="1" s="171">
      <c r="A13" s="280" t="inlineStr">
        <is>
          <t>☐</t>
        </is>
      </c>
      <c r="B13" s="183" t="inlineStr">
        <is>
          <t>Cutting board</t>
        </is>
      </c>
      <c r="C13" s="268" t="n">
        <v>2</v>
      </c>
      <c r="D13" s="282" t="inlineStr">
        <is>
          <t>Garnish prep: citrus wheels, apple/pear, cucumber, candied ginger, mint sprigs.</t>
        </is>
      </c>
      <c r="E13" s="282" t="inlineStr">
        <is>
          <t>Camp kitchen (check first)</t>
        </is>
      </c>
    </row>
    <row r="14" ht="15.75" customHeight="1" s="171">
      <c r="A14" s="280" t="inlineStr">
        <is>
          <t>☑</t>
        </is>
      </c>
      <c r="B14" s="183" t="inlineStr">
        <is>
          <t>Paring knife</t>
        </is>
      </c>
      <c r="C14" s="268" t="n">
        <v>2</v>
      </c>
      <c r="D14" s="282" t="inlineStr">
        <is>
          <t>Same garnish prep as cutting board.</t>
        </is>
      </c>
      <c r="E14" s="282" t="inlineStr">
        <is>
          <t>Camp kitchen (check first)</t>
        </is>
      </c>
    </row>
    <row r="15" ht="15.75" customHeight="1" s="171">
      <c r="A15" s="280" t="inlineStr">
        <is>
          <t>☐</t>
        </is>
      </c>
      <c r="B15" s="183" t="inlineStr">
        <is>
          <t>Fine mesh strainer</t>
        </is>
      </c>
      <c r="C15" s="268" t="n">
        <v>1</v>
      </c>
      <c r="D15" s="282" t="inlineStr">
        <is>
          <t>Strain the blended watermelon for the Monday fresca, and the muddled mint out of the Watermelon Sugar High if anyone is fussy. That drink has no pulp to strain any more — its juice comes out of a carton.</t>
        </is>
      </c>
      <c r="E15" s="282" t="inlineStr">
        <is>
          <t>Amazon / Restaurant Supply</t>
        </is>
      </c>
    </row>
    <row r="16" ht="15.75" customHeight="1" s="171">
      <c r="A16" s="280" t="inlineStr">
        <is>
          <t>☑</t>
        </is>
      </c>
      <c r="B16" s="183" t="inlineStr">
        <is>
          <t>Rimming plate / shallow dish</t>
        </is>
      </c>
      <c r="C16" s="268" t="n">
        <v>1</v>
      </c>
      <c r="D16" s="282" t="inlineStr">
        <is>
          <t>Tajin rim for the Michelada, A Ginger's Pickle, Catboy Piss and Shirley Temple of Doom.</t>
        </is>
      </c>
      <c r="E16" s="282" t="inlineStr">
        <is>
          <t>Amazon / Restaurant Supply</t>
        </is>
      </c>
    </row>
    <row r="17" ht="15.75" customHeight="1" s="171">
      <c r="A17" s="280" t="inlineStr">
        <is>
          <t>☐</t>
        </is>
      </c>
      <c r="B17" s="183" t="inlineStr">
        <is>
          <t>Squeeze bottles (set of 6)</t>
        </is>
      </c>
      <c r="C17" s="268" t="n">
        <v>1</v>
      </c>
      <c r="D17" s="282" t="inlineStr">
        <is>
          <t>Behind-bar syrup + pickle juice control, refilled from stock bottles.</t>
        </is>
      </c>
      <c r="E17" s="282" t="inlineStr">
        <is>
          <t>Amazon / Restaurant Supply</t>
        </is>
      </c>
    </row>
    <row r="18" ht="15.75" customHeight="1" s="171">
      <c r="A18" s="280" t="inlineStr">
        <is>
          <t>☑</t>
        </is>
      </c>
      <c r="B18" s="183" t="inlineStr">
        <is>
          <t>Ice scoop</t>
        </is>
      </c>
      <c r="C18" s="268" t="n">
        <v>2</v>
      </c>
      <c r="D18" s="282" t="inlineStr">
        <is>
          <t>Sanitary ice service for every drink.</t>
        </is>
      </c>
      <c r="E18" s="282" t="inlineStr">
        <is>
          <t>Amazon / Restaurant Supply</t>
        </is>
      </c>
    </row>
    <row r="19" ht="15.75" customHeight="1" s="171">
      <c r="A19" s="280" t="inlineStr">
        <is>
          <t>☑</t>
        </is>
      </c>
      <c r="B19" s="183" t="inlineStr">
        <is>
          <t>Cooler / ice bin</t>
        </is>
      </c>
      <c r="C19" s="268" t="n">
        <v>2</v>
      </c>
      <c r="D19" s="282" t="inlineStr">
        <is>
          <t>Holds ice; keeps batched jugs and squeeze bottles cold during service. COVERED BY the 19-gallon ice-bath tubs on Purchase List (Walmart) — same function, different name.</t>
        </is>
      </c>
      <c r="E19" s="282" t="inlineStr">
        <is>
          <t>Camp kitchen (check first)</t>
        </is>
      </c>
    </row>
    <row r="20" ht="15.75" customHeight="1" s="171">
      <c r="A20" s="280" t="inlineStr">
        <is>
          <t>☑</t>
        </is>
      </c>
      <c r="B20" s="183" t="inlineStr">
        <is>
          <t>Bar mat / spill mat</t>
        </is>
      </c>
      <c r="C20" s="268" t="n">
        <v>2</v>
      </c>
      <c r="D20" s="282" t="inlineStr">
        <is>
          <t>Catches drips at the build station.</t>
        </is>
      </c>
      <c r="E20" s="282" t="inlineStr">
        <is>
          <t>Camp kitchen (check first)</t>
        </is>
      </c>
    </row>
    <row r="21" ht="15.75" customHeight="1" s="171">
      <c r="A21" s="280" t="inlineStr">
        <is>
          <t>☐</t>
        </is>
      </c>
      <c r="B21" s="183" t="inlineStr">
        <is>
          <t>Garnish caddy (multi-compartment)</t>
        </is>
      </c>
      <c r="C21" s="268" t="n">
        <v>1</v>
      </c>
      <c r="D21" s="282" t="inlineStr">
        <is>
          <t>Holds prepped citrus wheels, mint, cinnamon, Tajín, pickle spears streamside.</t>
        </is>
      </c>
      <c r="E21" s="282" t="inlineStr">
        <is>
          <t>Amazon / Restaurant Supply</t>
        </is>
      </c>
    </row>
    <row r="22" ht="15.75" customHeight="1" s="171">
      <c r="A22" s="280" t="inlineStr">
        <is>
          <t>☐</t>
        </is>
      </c>
      <c r="B22" s="183" t="inlineStr">
        <is>
          <t>Bottle opener</t>
        </is>
      </c>
      <c r="C22" s="268" t="n">
        <v>2</v>
      </c>
      <c r="D22" s="282" t="inlineStr">
        <is>
          <t>Bottled kombucha, ginger beer and mixers. No keg couplers needed any more.</t>
        </is>
      </c>
      <c r="E22" s="282" t="inlineStr">
        <is>
          <t>Amazon / Restaurant Supply</t>
        </is>
      </c>
    </row>
    <row r="23" ht="15.75" customHeight="1" s="171">
      <c r="A23" s="280" t="inlineStr">
        <is>
          <t>☑</t>
        </is>
      </c>
      <c r="B23" s="183" t="inlineStr">
        <is>
          <t>Beverage dispenser, 10 L (with spigot)</t>
        </is>
      </c>
      <c r="C23" s="268" t="n">
        <v>3</v>
      </c>
      <c r="D23" s="299" t="inlineStr">
        <is>
          <t>THREE. Two run the nightly jug special (Assumptions B68 sizes every jug at 10 L) — Wednesday needs 20 L live at once. The third is dedicated to the camp tea options: winter melon tea and mugicha are self-serve all day and would otherwise block a jug dispenser. Keep it labelled — one of the two (mugicha) is unsweetened and the other (winter melon tea) is sweet, and nobody should have to guess which is which.</t>
        </is>
      </c>
      <c r="E23" s="282" t="inlineStr">
        <is>
          <t>Amazon / Restaurant Supply</t>
        </is>
      </c>
    </row>
    <row r="24" ht="15.75" customHeight="1" s="171">
      <c r="A24" s="280" t="inlineStr">
        <is>
          <t>☑</t>
        </is>
      </c>
      <c r="B24" s="183" t="inlineStr">
        <is>
          <t>Food-safe container, 1 gallon (sealed)</t>
        </is>
      </c>
      <c r="C24" s="268" t="n">
        <v>3</v>
      </c>
      <c r="D24" s="282" t="inlineStr">
        <is>
          <t>COLD BREW CONCENTRATE — the real job as of 14 Aug 2026. ~1.5 gal steeping overnight EVERY night for eight days (Camp Drinks row 6), which is the only thing on the list that needs a sealed gallon vessel daily. Do NOT drop these: the lemonade left this line when it went ready-to-drink, but cold brew replaced it and is a harder requirement — lemonade was one session, this is nightly. Also reserve capacity for the Wednesday 3-jug Red Flag batch.</t>
        </is>
      </c>
      <c r="E24" s="282" t="inlineStr">
        <is>
          <t>Amazon / Restaurant Supply</t>
        </is>
      </c>
    </row>
    <row r="25" ht="15.75" customHeight="1" s="171">
      <c r="A25" s="170" t="inlineStr">
        <is>
          <t>☑</t>
        </is>
      </c>
      <c r="B25" s="170" t="inlineStr">
        <is>
          <t>Resealable fruit containers (set of 6)</t>
        </is>
      </c>
      <c r="C25" s="170" t="n">
        <v>6</v>
      </c>
      <c r="D25" s="174" t="inlineStr">
        <is>
          <t>Prepped garnish storage — cucumber, lime, grapefruit and herbs, one container each plus a spare. Keeps cut fruit out of the dust and stops it drying out between rushes. Prep Friday night for the Saturday stack.</t>
        </is>
      </c>
      <c r="E25" s="170" t="inlineStr">
        <is>
          <t>Amazon / Restaurant Supply</t>
        </is>
      </c>
    </row>
    <row r="26" ht="15.75" customHeight="1" s="171">
      <c r="A26" s="170" t="inlineStr">
        <is>
          <t>☐</t>
        </is>
      </c>
      <c r="B26" s="170" t="inlineStr">
        <is>
          <t>Dispenser signs, 3 x 5 (printed + laminated)</t>
        </is>
      </c>
      <c r="C26" s="170" t="n">
        <v>6</v>
      </c>
      <c r="D26" s="174" t="inlineStr">
        <is>
          <t>Tape one to each dispenser. Two are essential — winter melon tea and mugicha are both brown and both unfamiliar to most people, but only mugicha is unsweetened (winter melon tea is a sweet sugar-block tea), so an unlabelled dispenser gets one confused sip and abandoned. Print the wording from the Camp Drinks tab. Spares cover the nightly jug, which changes every night — write that one in wet-erase or bring blanks.</t>
        </is>
      </c>
      <c r="E26" s="170" t="inlineStr">
        <is>
          <t>Print before playa / laminate</t>
        </is>
      </c>
    </row>
    <row r="27" ht="15.75" customHeight="1" s="171">
      <c r="A27" s="170" t="inlineStr">
        <is>
          <t>☑</t>
        </is>
      </c>
      <c r="B27" s="170" t="inlineStr">
        <is>
          <t>Liquor pour spouts (2 x 3-pack)</t>
        </is>
      </c>
      <c r="C27" s="170" t="n">
        <v>6</v>
      </c>
      <c r="D27" s="174" t="inlineStr">
        <is>
          <t>One per spirit — vodka, coconut rum, bourbon, blanco tequila, spiced rum, whiskey. Turns the jiggers on row 5 into a fast pour instead of a fiddly one, and stops the free-pouring that makes the 35% liquor uptake in the model a fiction. Also on Purchase List row 67 because these actually have to be bought — $8.99 a 3-pack at BevMo.</t>
        </is>
      </c>
      <c r="E27" s="170" t="inlineStr">
        <is>
          <t>BevMo / Amazon / Restaurant Supply</t>
        </is>
      </c>
    </row>
    <row r="28" ht="15.75" customHeight="1" s="171">
      <c r="A28" s="170" t="inlineStr">
        <is>
          <t>☑</t>
        </is>
      </c>
      <c r="B28" s="170" t="inlineStr">
        <is>
          <t>Strainer bags, 5 gal (fine mesh / paint strainer)</t>
        </is>
      </c>
      <c r="C28" s="170" t="n">
        <v>6</v>
      </c>
      <c r="D28" s="170" t="inlineStr">
        <is>
          <t>COLD BREW, DAILY — grounds go IN the bag, steep, lift the bag out; no straining, no second filtration pass, which is what makes the coarse grind on Purchase List row 55 easy to work with. ALSO THE TEA STEEPS: suan mei tang, mugicha and camp green tea (Camp Drinks rows 8-10), the Daily Tea standing tea, Tuesday lapsang, Wednesday hibiscus and the Sat/Sun green tea jugs. SIX because several steeps run at once and they tear. Rinse and reuse.</t>
        </is>
      </c>
      <c r="E28" s="170" t="inlineStr">
        <is>
          <t>Amazon / hardware store</t>
        </is>
      </c>
    </row>
    <row r="29" ht="15.75" customHeight="1" s="171"/>
    <row r="30" ht="15.75" customHeight="1" s="171"/>
    <row r="31" ht="15.75" customHeight="1" s="171"/>
    <row r="32" ht="15.75" customHeight="1" s="171"/>
    <row r="33" ht="15.75" customHeight="1" s="171"/>
    <row r="34" ht="15.75" customHeight="1" s="171"/>
    <row r="35" ht="15.75" customHeight="1" s="171"/>
    <row r="36" ht="15.75" customHeight="1" s="171"/>
    <row r="37" ht="15.75" customHeight="1" s="171"/>
    <row r="38" ht="15.75" customHeight="1" s="171"/>
    <row r="39" ht="15.75" customHeight="1" s="171"/>
    <row r="40" ht="15.75" customHeight="1" s="171"/>
    <row r="41" ht="15.75" customHeight="1" s="171"/>
    <row r="42" ht="15.75" customHeight="1" s="171"/>
    <row r="43" ht="15.75" customHeight="1" s="171"/>
    <row r="44" ht="15.75" customHeight="1" s="171"/>
    <row r="45" ht="15.75" customHeight="1" s="171"/>
    <row r="46" ht="15.75" customHeight="1" s="171"/>
    <row r="47" ht="15.75" customHeight="1" s="171"/>
    <row r="48" ht="15.75" customHeight="1" s="171"/>
    <row r="49" ht="15.75" customHeight="1" s="171"/>
    <row r="50" ht="15.75" customHeight="1" s="171"/>
    <row r="51" ht="15.75" customHeight="1" s="171"/>
    <row r="52" ht="15.75" customHeight="1" s="171"/>
    <row r="53" ht="15.75" customHeight="1" s="171"/>
    <row r="54" ht="15.75" customHeight="1" s="171"/>
    <row r="55" ht="15.75" customHeight="1" s="171"/>
    <row r="56" ht="15.75" customHeight="1" s="171"/>
    <row r="57" ht="15.75" customHeight="1" s="171"/>
    <row r="58" ht="15.75" customHeight="1" s="171"/>
    <row r="59" ht="15.75" customHeight="1" s="171"/>
    <row r="60" ht="15.75" customHeight="1" s="171"/>
    <row r="61" ht="15.75" customHeight="1" s="171"/>
    <row r="62" ht="15.75" customHeight="1" s="171"/>
    <row r="63" ht="15.75" customHeight="1" s="171"/>
    <row r="64" ht="15.75" customHeight="1" s="171"/>
    <row r="65" ht="15.75" customHeight="1" s="171"/>
    <row r="66" ht="15.75" customHeight="1" s="171"/>
    <row r="67" ht="15.75" customHeight="1" s="171"/>
    <row r="68" ht="15.75" customHeight="1" s="171"/>
    <row r="69" ht="15.75" customHeight="1" s="171"/>
    <row r="70" ht="15.75" customHeight="1" s="171"/>
    <row r="71" ht="15.75" customHeight="1" s="171"/>
    <row r="72" ht="15.75" customHeight="1" s="171"/>
    <row r="73" ht="15.75" customHeight="1" s="171"/>
    <row r="74" ht="15.75" customHeight="1" s="171"/>
    <row r="75" ht="15.75" customHeight="1" s="171"/>
    <row r="76" ht="15.75" customHeight="1" s="171"/>
    <row r="77" ht="15.75" customHeight="1" s="171"/>
    <row r="78" ht="15.75" customHeight="1" s="171"/>
    <row r="79" ht="15.75" customHeight="1" s="171"/>
    <row r="80" ht="15.75" customHeight="1" s="171"/>
    <row r="81" ht="15.75" customHeight="1" s="171"/>
    <row r="82" ht="15.75" customHeight="1" s="171"/>
    <row r="83" ht="15.75" customHeight="1" s="171"/>
    <row r="84" ht="15.75" customHeight="1" s="171"/>
    <row r="85" ht="15.75" customHeight="1" s="171"/>
    <row r="86" ht="15.75" customHeight="1" s="171"/>
    <row r="87" ht="15.75" customHeight="1" s="171"/>
    <row r="88" ht="15.75" customHeight="1" s="171"/>
    <row r="89" ht="15.75" customHeight="1" s="171"/>
    <row r="90" ht="15.75" customHeight="1" s="171"/>
    <row r="91" ht="15.75" customHeight="1" s="171"/>
    <row r="92" ht="15.75" customHeight="1" s="171"/>
    <row r="93" ht="15.75" customHeight="1" s="171"/>
    <row r="94" ht="15.75" customHeight="1" s="171"/>
    <row r="95" ht="15.75" customHeight="1" s="171"/>
    <row r="96" ht="15.75" customHeight="1" s="171"/>
    <row r="97" ht="15.75" customHeight="1" s="171"/>
    <row r="98" ht="15.75" customHeight="1" s="171"/>
    <row r="99" ht="15.75" customHeight="1" s="171"/>
    <row r="100" ht="15.75" customHeight="1" s="171"/>
    <row r="101" ht="15.75" customHeight="1" s="171"/>
    <row r="102" ht="15.75" customHeight="1" s="171"/>
    <row r="103" ht="15.75" customHeight="1" s="171"/>
    <row r="104" ht="15.75" customHeight="1" s="171"/>
    <row r="105" ht="15.75" customHeight="1" s="171"/>
    <row r="106" ht="15.75" customHeight="1" s="171"/>
    <row r="107" ht="15.75" customHeight="1" s="171"/>
    <row r="108" ht="15.75" customHeight="1" s="171"/>
    <row r="109" ht="15.75" customHeight="1" s="171"/>
    <row r="110" ht="15.75" customHeight="1" s="171"/>
    <row r="111" ht="15.75" customHeight="1" s="171"/>
    <row r="112" ht="15.75" customHeight="1" s="171"/>
    <row r="113" ht="15.75" customHeight="1" s="171"/>
    <row r="114" ht="15.75" customHeight="1" s="171"/>
    <row r="115" ht="15.75" customHeight="1" s="171"/>
    <row r="116" ht="15.75" customHeight="1" s="171"/>
    <row r="117" ht="15.75" customHeight="1" s="171"/>
    <row r="118" ht="15.75" customHeight="1" s="171"/>
    <row r="119" ht="15.75" customHeight="1" s="171"/>
    <row r="120" ht="15.75" customHeight="1" s="171"/>
    <row r="121" ht="15.75" customHeight="1" s="171"/>
    <row r="122" ht="15.75" customHeight="1" s="171"/>
    <row r="123" ht="15.75" customHeight="1" s="171"/>
    <row r="124" ht="15.75" customHeight="1" s="171"/>
    <row r="125" ht="15.75" customHeight="1" s="171"/>
    <row r="126" ht="15.75" customHeight="1" s="171"/>
    <row r="127" ht="15.75" customHeight="1" s="171"/>
    <row r="128" ht="15.75" customHeight="1" s="171"/>
    <row r="129" ht="15.75" customHeight="1" s="171"/>
    <row r="130" ht="15.75" customHeight="1" s="171"/>
    <row r="131" ht="15.75" customHeight="1" s="171"/>
    <row r="132" ht="15.75" customHeight="1" s="171"/>
    <row r="133" ht="15.75" customHeight="1" s="171"/>
    <row r="134" ht="15.75" customHeight="1" s="171"/>
    <row r="135" ht="15.75" customHeight="1" s="171"/>
    <row r="136" ht="15.75" customHeight="1" s="171"/>
    <row r="137" ht="15.75" customHeight="1" s="171"/>
    <row r="138" ht="15.75" customHeight="1" s="171"/>
    <row r="139" ht="15.75" customHeight="1" s="171"/>
    <row r="140" ht="15.75" customHeight="1" s="171"/>
    <row r="141" ht="15.75" customHeight="1" s="171"/>
    <row r="142" ht="15.75" customHeight="1" s="171"/>
    <row r="143" ht="15.75" customHeight="1" s="171"/>
    <row r="144" ht="15.75" customHeight="1" s="171"/>
    <row r="145" ht="15.75" customHeight="1" s="171"/>
    <row r="146" ht="15.75" customHeight="1" s="171"/>
    <row r="147" ht="15.75" customHeight="1" s="171"/>
    <row r="148" ht="15.75" customHeight="1" s="171"/>
    <row r="149" ht="15.75" customHeight="1" s="171"/>
    <row r="150" ht="15.75" customHeight="1" s="171"/>
    <row r="151" ht="15.75" customHeight="1" s="171"/>
    <row r="152" ht="15.75" customHeight="1" s="171"/>
    <row r="153" ht="15.75" customHeight="1" s="171"/>
    <row r="154" ht="15.75" customHeight="1" s="171"/>
    <row r="155" ht="15.75" customHeight="1" s="171"/>
    <row r="156" ht="15.75" customHeight="1" s="171"/>
    <row r="157" ht="15.75" customHeight="1" s="171"/>
    <row r="158" ht="15.75" customHeight="1" s="171"/>
    <row r="159" ht="15.75" customHeight="1" s="171"/>
    <row r="160" ht="15.75" customHeight="1" s="171"/>
    <row r="161" ht="15.75" customHeight="1" s="171"/>
    <row r="162" ht="15.75" customHeight="1" s="171"/>
    <row r="163" ht="15.75" customHeight="1" s="171"/>
    <row r="164" ht="15.75" customHeight="1" s="171"/>
    <row r="165" ht="15.75" customHeight="1" s="171"/>
    <row r="166" ht="15.75" customHeight="1" s="171"/>
    <row r="167" ht="15.75" customHeight="1" s="171"/>
    <row r="168" ht="15.75" customHeight="1" s="171"/>
    <row r="169" ht="15.75" customHeight="1" s="171"/>
    <row r="170" ht="15.75" customHeight="1" s="171"/>
    <row r="171" ht="15.75" customHeight="1" s="171"/>
    <row r="172" ht="15.75" customHeight="1" s="171"/>
    <row r="173" ht="15.75" customHeight="1" s="171"/>
    <row r="174" ht="15.75" customHeight="1" s="171"/>
    <row r="175" ht="15.75" customHeight="1" s="171"/>
    <row r="176" ht="15.75" customHeight="1" s="171"/>
    <row r="177" ht="15.75" customHeight="1" s="171"/>
    <row r="178" ht="15.75" customHeight="1" s="171"/>
    <row r="179" ht="15.75" customHeight="1" s="171"/>
    <row r="180" ht="15.75" customHeight="1" s="171"/>
    <row r="181" ht="15.75" customHeight="1" s="171"/>
    <row r="182" ht="15.75" customHeight="1" s="171"/>
    <row r="183" ht="15.75" customHeight="1" s="171"/>
    <row r="184" ht="15.75" customHeight="1" s="171"/>
    <row r="185" ht="15.75" customHeight="1" s="171"/>
    <row r="186" ht="15.75" customHeight="1" s="171"/>
    <row r="187" ht="15.75" customHeight="1" s="171"/>
    <row r="188" ht="15.75" customHeight="1" s="171"/>
    <row r="189" ht="15.75" customHeight="1" s="171"/>
    <row r="190" ht="15.75" customHeight="1" s="171"/>
    <row r="191" ht="15.75" customHeight="1" s="171"/>
    <row r="192" ht="15.75" customHeight="1" s="171"/>
    <row r="193" ht="15.75" customHeight="1" s="171"/>
    <row r="194" ht="15.75" customHeight="1" s="171"/>
    <row r="195" ht="15.75" customHeight="1" s="171"/>
    <row r="196" ht="15.75" customHeight="1" s="171"/>
    <row r="197" ht="15.75" customHeight="1" s="171"/>
    <row r="198" ht="15.75" customHeight="1" s="171"/>
    <row r="199" ht="15.75" customHeight="1" s="171"/>
    <row r="200" ht="15.75" customHeight="1" s="171"/>
    <row r="201" ht="15.75" customHeight="1" s="171"/>
    <row r="202" ht="15.75" customHeight="1" s="171"/>
    <row r="203" ht="15.75" customHeight="1" s="171"/>
    <row r="204" ht="15.75" customHeight="1" s="171"/>
    <row r="205" ht="15.75" customHeight="1" s="171"/>
    <row r="206" ht="15.75" customHeight="1" s="171"/>
    <row r="207" ht="15.75" customHeight="1" s="171"/>
    <row r="208" ht="15.75" customHeight="1" s="171"/>
    <row r="209" ht="15.75" customHeight="1" s="171"/>
    <row r="210" ht="15.75" customHeight="1" s="171"/>
    <row r="211" ht="15.75" customHeight="1" s="171"/>
    <row r="212" ht="15.75" customHeight="1" s="171"/>
    <row r="213" ht="15.75" customHeight="1" s="171"/>
    <row r="214" ht="15.75" customHeight="1" s="171"/>
    <row r="215" ht="15.75" customHeight="1" s="171"/>
    <row r="216" ht="15.75" customHeight="1" s="171"/>
    <row r="217" ht="15.75" customHeight="1" s="171"/>
    <row r="218" ht="15.75" customHeight="1" s="171"/>
    <row r="219" ht="15.75" customHeight="1" s="171"/>
    <row r="220" ht="15.75" customHeight="1" s="171"/>
    <row r="221" ht="15.75" customHeight="1" s="171"/>
    <row r="222" ht="15.75" customHeight="1" s="171"/>
    <row r="223" ht="15.75" customHeight="1" s="171"/>
    <row r="224" ht="15.75" customHeight="1" s="171"/>
    <row r="225" ht="15.75" customHeight="1" s="171"/>
    <row r="226" ht="15.75" customHeight="1" s="171"/>
    <row r="227" ht="15.75" customHeight="1" s="171"/>
    <row r="228" ht="15.75" customHeight="1" s="171"/>
    <row r="229" ht="15.75" customHeight="1" s="171"/>
    <row r="230" ht="15.75" customHeight="1" s="171"/>
    <row r="231" ht="15.75" customHeight="1" s="171"/>
    <row r="232" ht="15.75" customHeight="1" s="171"/>
    <row r="233" ht="15.75" customHeight="1" s="171"/>
    <row r="234" ht="15.75" customHeight="1" s="171"/>
    <row r="235" ht="15.75" customHeight="1" s="171"/>
    <row r="236" ht="15.75" customHeight="1" s="171"/>
    <row r="237" ht="15.75" customHeight="1" s="171"/>
    <row r="238" ht="15.75" customHeight="1" s="171"/>
    <row r="239" ht="15.75" customHeight="1" s="171"/>
    <row r="240" ht="15.75" customHeight="1" s="171"/>
    <row r="241" ht="15.75" customHeight="1" s="171"/>
    <row r="242" ht="15.75" customHeight="1" s="171"/>
    <row r="243" ht="15.75" customHeight="1" s="171"/>
    <row r="244" ht="15.75" customHeight="1" s="171"/>
    <row r="245" ht="15.75" customHeight="1" s="171"/>
    <row r="246" ht="15.75" customHeight="1" s="171"/>
    <row r="247" ht="15.75" customHeight="1" s="171"/>
    <row r="248" ht="15.75" customHeight="1" s="171"/>
    <row r="249" ht="15.75" customHeight="1" s="171"/>
    <row r="250" ht="15.75" customHeight="1" s="171"/>
    <row r="251" ht="15.75" customHeight="1" s="171"/>
    <row r="252" ht="15.75" customHeight="1" s="171"/>
    <row r="253" ht="15.75" customHeight="1" s="171"/>
    <row r="254" ht="15.75" customHeight="1" s="171"/>
    <row r="255" ht="15.75" customHeight="1" s="171"/>
    <row r="256" ht="15.75" customHeight="1" s="171"/>
    <row r="257" ht="15.75" customHeight="1" s="171"/>
    <row r="258" ht="15.75" customHeight="1" s="171"/>
    <row r="259" ht="15.75" customHeight="1" s="171"/>
    <row r="260" ht="15.75" customHeight="1" s="171"/>
    <row r="261" ht="15.75" customHeight="1" s="171"/>
    <row r="262" ht="15.75" customHeight="1" s="171"/>
    <row r="263" ht="15.75" customHeight="1" s="171"/>
    <row r="264" ht="15.75" customHeight="1" s="171"/>
    <row r="265" ht="15.75" customHeight="1" s="171"/>
    <row r="266" ht="15.75" customHeight="1" s="171"/>
    <row r="267" ht="15.75" customHeight="1" s="171"/>
    <row r="268" ht="15.75" customHeight="1" s="171"/>
    <row r="269" ht="15.75" customHeight="1" s="171"/>
    <row r="270" ht="15.75" customHeight="1" s="171"/>
    <row r="271" ht="15.75" customHeight="1" s="171"/>
    <row r="272" ht="15.75" customHeight="1" s="171"/>
    <row r="273" ht="15.75" customHeight="1" s="171"/>
    <row r="274" ht="15.75" customHeight="1" s="171"/>
    <row r="275" ht="15.75" customHeight="1" s="171"/>
    <row r="276" ht="15.75" customHeight="1" s="171"/>
    <row r="277" ht="15.75" customHeight="1" s="171"/>
    <row r="278" ht="15.75" customHeight="1" s="171"/>
    <row r="279" ht="15.75" customHeight="1" s="171"/>
    <row r="280" ht="15.75" customHeight="1" s="171"/>
    <row r="281" ht="15.75" customHeight="1" s="171"/>
    <row r="282" ht="15.75" customHeight="1" s="171"/>
    <row r="283" ht="15.75" customHeight="1" s="171"/>
    <row r="284" ht="15.75" customHeight="1" s="171"/>
    <row r="285" ht="15.75" customHeight="1" s="171"/>
    <row r="286" ht="15.75" customHeight="1" s="171"/>
    <row r="287" ht="15.75" customHeight="1" s="171"/>
    <row r="288" ht="15.75" customHeight="1" s="171"/>
    <row r="289" ht="15.75" customHeight="1" s="171"/>
    <row r="290" ht="15.75" customHeight="1" s="171"/>
    <row r="291" ht="15.75" customHeight="1" s="171"/>
    <row r="292" ht="15.75" customHeight="1" s="171"/>
    <row r="293" ht="15.75" customHeight="1" s="171"/>
    <row r="294" ht="15.75" customHeight="1" s="171"/>
    <row r="295" ht="15.75" customHeight="1" s="171"/>
    <row r="296" ht="15.75" customHeight="1" s="171"/>
    <row r="297" ht="15.75" customHeight="1" s="171"/>
    <row r="298" ht="15.75" customHeight="1" s="171"/>
    <row r="299" ht="15.75" customHeight="1" s="171"/>
    <row r="300" ht="15.75" customHeight="1" s="171"/>
    <row r="301" ht="15.75" customHeight="1" s="171"/>
    <row r="302" ht="15.75" customHeight="1" s="171"/>
    <row r="303" ht="15.75" customHeight="1" s="171"/>
    <row r="304" ht="15.75" customHeight="1" s="171"/>
    <row r="305" ht="15.75" customHeight="1" s="171"/>
    <row r="306" ht="15.75" customHeight="1" s="171"/>
    <row r="307" ht="15.75" customHeight="1" s="171"/>
    <row r="308" ht="15.75" customHeight="1" s="171"/>
    <row r="309" ht="15.75" customHeight="1" s="171"/>
    <row r="310" ht="15.75" customHeight="1" s="171"/>
    <row r="311" ht="15.75" customHeight="1" s="171"/>
    <row r="312" ht="15.75" customHeight="1" s="171"/>
    <row r="313" ht="15.75" customHeight="1" s="171"/>
    <row r="314" ht="15.75" customHeight="1" s="171"/>
    <row r="315" ht="15.75" customHeight="1" s="171"/>
    <row r="316" ht="15.75" customHeight="1" s="171"/>
    <row r="317" ht="15.75" customHeight="1" s="171"/>
    <row r="318" ht="15.75" customHeight="1" s="171"/>
    <row r="319" ht="15.75" customHeight="1" s="171"/>
    <row r="320" ht="15.75" customHeight="1" s="171"/>
    <row r="321" ht="15.75" customHeight="1" s="171"/>
    <row r="322" ht="15.75" customHeight="1" s="171"/>
    <row r="323" ht="15.75" customHeight="1" s="171"/>
    <row r="324" ht="15.75" customHeight="1" s="171"/>
    <row r="325" ht="15.75" customHeight="1" s="171"/>
    <row r="326" ht="15.75" customHeight="1" s="171"/>
    <row r="327" ht="15.75" customHeight="1" s="171"/>
    <row r="328" ht="15.75" customHeight="1" s="171"/>
    <row r="329" ht="15.75" customHeight="1" s="171"/>
    <row r="330" ht="15.75" customHeight="1" s="171"/>
    <row r="331" ht="15.75" customHeight="1" s="171"/>
    <row r="332" ht="15.75" customHeight="1" s="171"/>
    <row r="333" ht="15.75" customHeight="1" s="171"/>
    <row r="334" ht="15.75" customHeight="1" s="171"/>
    <row r="335" ht="15.75" customHeight="1" s="171"/>
    <row r="336" ht="15.75" customHeight="1" s="171"/>
    <row r="337" ht="15.75" customHeight="1" s="171"/>
    <row r="338" ht="15.75" customHeight="1" s="171"/>
    <row r="339" ht="15.75" customHeight="1" s="171"/>
    <row r="340" ht="15.75" customHeight="1" s="171"/>
    <row r="341" ht="15.75" customHeight="1" s="171"/>
    <row r="342" ht="15.75" customHeight="1" s="171"/>
    <row r="343" ht="15.75" customHeight="1" s="171"/>
    <row r="344" ht="15.75" customHeight="1" s="171"/>
    <row r="345" ht="15.75" customHeight="1" s="171"/>
    <row r="346" ht="15.75" customHeight="1" s="171"/>
    <row r="347" ht="15.75" customHeight="1" s="171"/>
    <row r="348" ht="15.75" customHeight="1" s="171"/>
    <row r="349" ht="15.75" customHeight="1" s="171"/>
    <row r="350" ht="15.75" customHeight="1" s="171"/>
    <row r="351" ht="15.75" customHeight="1" s="171"/>
    <row r="352" ht="15.75" customHeight="1" s="171"/>
    <row r="353" ht="15.75" customHeight="1" s="171"/>
    <row r="354" ht="15.75" customHeight="1" s="171"/>
    <row r="355" ht="15.75" customHeight="1" s="171"/>
    <row r="356" ht="15.75" customHeight="1" s="171"/>
    <row r="357" ht="15.75" customHeight="1" s="171"/>
    <row r="358" ht="15.75" customHeight="1" s="171"/>
    <row r="359" ht="15.75" customHeight="1" s="171"/>
    <row r="360" ht="15.75" customHeight="1" s="171"/>
    <row r="361" ht="15.75" customHeight="1" s="171"/>
    <row r="362" ht="15.75" customHeight="1" s="171"/>
    <row r="363" ht="15.75" customHeight="1" s="171"/>
    <row r="364" ht="15.75" customHeight="1" s="171"/>
    <row r="365" ht="15.75" customHeight="1" s="171"/>
    <row r="366" ht="15.75" customHeight="1" s="171"/>
    <row r="367" ht="15.75" customHeight="1" s="171"/>
    <row r="368" ht="15.75" customHeight="1" s="171"/>
    <row r="369" ht="15.75" customHeight="1" s="171"/>
    <row r="370" ht="15.75" customHeight="1" s="171"/>
    <row r="371" ht="15.75" customHeight="1" s="171"/>
    <row r="372" ht="15.75" customHeight="1" s="171"/>
    <row r="373" ht="15.75" customHeight="1" s="171"/>
    <row r="374" ht="15.75" customHeight="1" s="171"/>
    <row r="375" ht="15.75" customHeight="1" s="171"/>
    <row r="376" ht="15.75" customHeight="1" s="171"/>
    <row r="377" ht="15.75" customHeight="1" s="171"/>
    <row r="378" ht="15.75" customHeight="1" s="171"/>
    <row r="379" ht="15.75" customHeight="1" s="171"/>
    <row r="380" ht="15.75" customHeight="1" s="171"/>
    <row r="381" ht="15.75" customHeight="1" s="171"/>
    <row r="382" ht="15.75" customHeight="1" s="171"/>
    <row r="383" ht="15.75" customHeight="1" s="171"/>
    <row r="384" ht="15.75" customHeight="1" s="171"/>
    <row r="385" ht="15.75" customHeight="1" s="171"/>
    <row r="386" ht="15.75" customHeight="1" s="171"/>
    <row r="387" ht="15.75" customHeight="1" s="171"/>
    <row r="388" ht="15.75" customHeight="1" s="171"/>
    <row r="389" ht="15.75" customHeight="1" s="171"/>
    <row r="390" ht="15.75" customHeight="1" s="171"/>
    <row r="391" ht="15.75" customHeight="1" s="171"/>
    <row r="392" ht="15.75" customHeight="1" s="171"/>
    <row r="393" ht="15.75" customHeight="1" s="171"/>
    <row r="394" ht="15.75" customHeight="1" s="171"/>
    <row r="395" ht="15.75" customHeight="1" s="171"/>
    <row r="396" ht="15.75" customHeight="1" s="171"/>
    <row r="397" ht="15.75" customHeight="1" s="171"/>
    <row r="398" ht="15.75" customHeight="1" s="171"/>
    <row r="399" ht="15.75" customHeight="1" s="171"/>
    <row r="400" ht="15.75" customHeight="1" s="171"/>
    <row r="401" ht="15.75" customHeight="1" s="171"/>
    <row r="402" ht="15.75" customHeight="1" s="171"/>
    <row r="403" ht="15.75" customHeight="1" s="171"/>
    <row r="404" ht="15.75" customHeight="1" s="171"/>
    <row r="405" ht="15.75" customHeight="1" s="171"/>
    <row r="406" ht="15.75" customHeight="1" s="171"/>
    <row r="407" ht="15.75" customHeight="1" s="171"/>
    <row r="408" ht="15.75" customHeight="1" s="171"/>
    <row r="409" ht="15.75" customHeight="1" s="171"/>
    <row r="410" ht="15.75" customHeight="1" s="171"/>
    <row r="411" ht="15.75" customHeight="1" s="171"/>
    <row r="412" ht="15.75" customHeight="1" s="171"/>
    <row r="413" ht="15.75" customHeight="1" s="171"/>
    <row r="414" ht="15.75" customHeight="1" s="171"/>
    <row r="415" ht="15.75" customHeight="1" s="171"/>
    <row r="416" ht="15.75" customHeight="1" s="171"/>
    <row r="417" ht="15.75" customHeight="1" s="171"/>
    <row r="418" ht="15.75" customHeight="1" s="171"/>
    <row r="419" ht="15.75" customHeight="1" s="171"/>
    <row r="420" ht="15.75" customHeight="1" s="171"/>
    <row r="421" ht="15.75" customHeight="1" s="171"/>
    <row r="422" ht="15.75" customHeight="1" s="171"/>
    <row r="423" ht="15.75" customHeight="1" s="171"/>
    <row r="424" ht="15.75" customHeight="1" s="171"/>
    <row r="425" ht="15.75" customHeight="1" s="171"/>
    <row r="426" ht="15.75" customHeight="1" s="171"/>
    <row r="427" ht="15.75" customHeight="1" s="171"/>
    <row r="428" ht="15.75" customHeight="1" s="171"/>
    <row r="429" ht="15.75" customHeight="1" s="171"/>
    <row r="430" ht="15.75" customHeight="1" s="171"/>
    <row r="431" ht="15.75" customHeight="1" s="171"/>
    <row r="432" ht="15.75" customHeight="1" s="171"/>
    <row r="433" ht="15.75" customHeight="1" s="171"/>
    <row r="434" ht="15.75" customHeight="1" s="171"/>
    <row r="435" ht="15.75" customHeight="1" s="171"/>
    <row r="436" ht="15.75" customHeight="1" s="171"/>
    <row r="437" ht="15.75" customHeight="1" s="171"/>
    <row r="438" ht="15.75" customHeight="1" s="171"/>
    <row r="439" ht="15.75" customHeight="1" s="171"/>
    <row r="440" ht="15.75" customHeight="1" s="171"/>
    <row r="441" ht="15.75" customHeight="1" s="171"/>
    <row r="442" ht="15.75" customHeight="1" s="171"/>
    <row r="443" ht="15.75" customHeight="1" s="171"/>
    <row r="444" ht="15.75" customHeight="1" s="171"/>
    <row r="445" ht="15.75" customHeight="1" s="171"/>
    <row r="446" ht="15.75" customHeight="1" s="171"/>
    <row r="447" ht="15.75" customHeight="1" s="171"/>
    <row r="448" ht="15.75" customHeight="1" s="171"/>
    <row r="449" ht="15.75" customHeight="1" s="171"/>
    <row r="450" ht="15.75" customHeight="1" s="171"/>
    <row r="451" ht="15.75" customHeight="1" s="171"/>
    <row r="452" ht="15.75" customHeight="1" s="171"/>
    <row r="453" ht="15.75" customHeight="1" s="171"/>
    <row r="454" ht="15.75" customHeight="1" s="171"/>
    <row r="455" ht="15.75" customHeight="1" s="171"/>
    <row r="456" ht="15.75" customHeight="1" s="171"/>
    <row r="457" ht="15.75" customHeight="1" s="171"/>
    <row r="458" ht="15.75" customHeight="1" s="171"/>
    <row r="459" ht="15.75" customHeight="1" s="171"/>
    <row r="460" ht="15.75" customHeight="1" s="171"/>
    <row r="461" ht="15.75" customHeight="1" s="171"/>
    <row r="462" ht="15.75" customHeight="1" s="171"/>
    <row r="463" ht="15.75" customHeight="1" s="171"/>
    <row r="464" ht="15.75" customHeight="1" s="171"/>
    <row r="465" ht="15.75" customHeight="1" s="171"/>
    <row r="466" ht="15.75" customHeight="1" s="171"/>
    <row r="467" ht="15.75" customHeight="1" s="171"/>
    <row r="468" ht="15.75" customHeight="1" s="171"/>
    <row r="469" ht="15.75" customHeight="1" s="171"/>
    <row r="470" ht="15.75" customHeight="1" s="171"/>
    <row r="471" ht="15.75" customHeight="1" s="171"/>
    <row r="472" ht="15.75" customHeight="1" s="171"/>
    <row r="473" ht="15.75" customHeight="1" s="171"/>
    <row r="474" ht="15.75" customHeight="1" s="171"/>
    <row r="475" ht="15.75" customHeight="1" s="171"/>
    <row r="476" ht="15.75" customHeight="1" s="171"/>
    <row r="477" ht="15.75" customHeight="1" s="171"/>
    <row r="478" ht="15.75" customHeight="1" s="171"/>
    <row r="479" ht="15.75" customHeight="1" s="171"/>
    <row r="480" ht="15.75" customHeight="1" s="171"/>
    <row r="481" ht="15.75" customHeight="1" s="171"/>
    <row r="482" ht="15.75" customHeight="1" s="171"/>
    <row r="483" ht="15.75" customHeight="1" s="171"/>
    <row r="484" ht="15.75" customHeight="1" s="171"/>
    <row r="485" ht="15.75" customHeight="1" s="171"/>
    <row r="486" ht="15.75" customHeight="1" s="171"/>
    <row r="487" ht="15.75" customHeight="1" s="171"/>
    <row r="488" ht="15.75" customHeight="1" s="171"/>
    <row r="489" ht="15.75" customHeight="1" s="171"/>
    <row r="490" ht="15.75" customHeight="1" s="171"/>
    <row r="491" ht="15.75" customHeight="1" s="171"/>
    <row r="492" ht="15.75" customHeight="1" s="171"/>
    <row r="493" ht="15.75" customHeight="1" s="171"/>
    <row r="494" ht="15.75" customHeight="1" s="171"/>
    <row r="495" ht="15.75" customHeight="1" s="171"/>
    <row r="496" ht="15.75" customHeight="1" s="171"/>
    <row r="497" ht="15.75" customHeight="1" s="171"/>
    <row r="498" ht="15.75" customHeight="1" s="171"/>
    <row r="499" ht="15.75" customHeight="1" s="171"/>
    <row r="500" ht="15.75" customHeight="1" s="171"/>
    <row r="501" ht="15.75" customHeight="1" s="171"/>
    <row r="502" ht="15.75" customHeight="1" s="171"/>
    <row r="503" ht="15.75" customHeight="1" s="171"/>
    <row r="504" ht="15.75" customHeight="1" s="171"/>
    <row r="505" ht="15.75" customHeight="1" s="171"/>
    <row r="506" ht="15.75" customHeight="1" s="171"/>
    <row r="507" ht="15.75" customHeight="1" s="171"/>
    <row r="508" ht="15.75" customHeight="1" s="171"/>
    <row r="509" ht="15.75" customHeight="1" s="171"/>
    <row r="510" ht="15.75" customHeight="1" s="171"/>
    <row r="511" ht="15.75" customHeight="1" s="171"/>
    <row r="512" ht="15.75" customHeight="1" s="171"/>
    <row r="513" ht="15.75" customHeight="1" s="171"/>
    <row r="514" ht="15.75" customHeight="1" s="171"/>
    <row r="515" ht="15.75" customHeight="1" s="171"/>
    <row r="516" ht="15.75" customHeight="1" s="171"/>
    <row r="517" ht="15.75" customHeight="1" s="171"/>
    <row r="518" ht="15.75" customHeight="1" s="171"/>
    <row r="519" ht="15.75" customHeight="1" s="171"/>
    <row r="520" ht="15.75" customHeight="1" s="171"/>
    <row r="521" ht="15.75" customHeight="1" s="171"/>
    <row r="522" ht="15.75" customHeight="1" s="171"/>
    <row r="523" ht="15.75" customHeight="1" s="171"/>
    <row r="524" ht="15.75" customHeight="1" s="171"/>
    <row r="525" ht="15.75" customHeight="1" s="171"/>
    <row r="526" ht="15.75" customHeight="1" s="171"/>
    <row r="527" ht="15.75" customHeight="1" s="171"/>
    <row r="528" ht="15.75" customHeight="1" s="171"/>
    <row r="529" ht="15.75" customHeight="1" s="171"/>
    <row r="530" ht="15.75" customHeight="1" s="171"/>
    <row r="531" ht="15.75" customHeight="1" s="171"/>
    <row r="532" ht="15.75" customHeight="1" s="171"/>
    <row r="533" ht="15.75" customHeight="1" s="171"/>
    <row r="534" ht="15.75" customHeight="1" s="171"/>
    <row r="535" ht="15.75" customHeight="1" s="171"/>
    <row r="536" ht="15.75" customHeight="1" s="171"/>
    <row r="537" ht="15.75" customHeight="1" s="171"/>
    <row r="538" ht="15.75" customHeight="1" s="171"/>
    <row r="539" ht="15.75" customHeight="1" s="171"/>
    <row r="540" ht="15.75" customHeight="1" s="171"/>
    <row r="541" ht="15.75" customHeight="1" s="171"/>
    <row r="542" ht="15.75" customHeight="1" s="171"/>
    <row r="543" ht="15.75" customHeight="1" s="171"/>
    <row r="544" ht="15.75" customHeight="1" s="171"/>
    <row r="545" ht="15.75" customHeight="1" s="171"/>
    <row r="546" ht="15.75" customHeight="1" s="171"/>
    <row r="547" ht="15.75" customHeight="1" s="171"/>
    <row r="548" ht="15.75" customHeight="1" s="171"/>
    <row r="549" ht="15.75" customHeight="1" s="171"/>
    <row r="550" ht="15.75" customHeight="1" s="171"/>
    <row r="551" ht="15.75" customHeight="1" s="171"/>
    <row r="552" ht="15.75" customHeight="1" s="171"/>
    <row r="553" ht="15.75" customHeight="1" s="171"/>
    <row r="554" ht="15.75" customHeight="1" s="171"/>
    <row r="555" ht="15.75" customHeight="1" s="171"/>
    <row r="556" ht="15.75" customHeight="1" s="171"/>
    <row r="557" ht="15.75" customHeight="1" s="171"/>
    <row r="558" ht="15.75" customHeight="1" s="171"/>
    <row r="559" ht="15.75" customHeight="1" s="171"/>
    <row r="560" ht="15.75" customHeight="1" s="171"/>
    <row r="561" ht="15.75" customHeight="1" s="171"/>
    <row r="562" ht="15.75" customHeight="1" s="171"/>
    <row r="563" ht="15.75" customHeight="1" s="171"/>
    <row r="564" ht="15.75" customHeight="1" s="171"/>
    <row r="565" ht="15.75" customHeight="1" s="171"/>
    <row r="566" ht="15.75" customHeight="1" s="171"/>
    <row r="567" ht="15.75" customHeight="1" s="171"/>
    <row r="568" ht="15.75" customHeight="1" s="171"/>
    <row r="569" ht="15.75" customHeight="1" s="171"/>
    <row r="570" ht="15.75" customHeight="1" s="171"/>
    <row r="571" ht="15.75" customHeight="1" s="171"/>
    <row r="572" ht="15.75" customHeight="1" s="171"/>
    <row r="573" ht="15.75" customHeight="1" s="171"/>
    <row r="574" ht="15.75" customHeight="1" s="171"/>
    <row r="575" ht="15.75" customHeight="1" s="171"/>
    <row r="576" ht="15.75" customHeight="1" s="171"/>
    <row r="577" ht="15.75" customHeight="1" s="171"/>
    <row r="578" ht="15.75" customHeight="1" s="171"/>
    <row r="579" ht="15.75" customHeight="1" s="171"/>
    <row r="580" ht="15.75" customHeight="1" s="171"/>
    <row r="581" ht="15.75" customHeight="1" s="171"/>
    <row r="582" ht="15.75" customHeight="1" s="171"/>
    <row r="583" ht="15.75" customHeight="1" s="171"/>
    <row r="584" ht="15.75" customHeight="1" s="171"/>
    <row r="585" ht="15.75" customHeight="1" s="171"/>
    <row r="586" ht="15.75" customHeight="1" s="171"/>
    <row r="587" ht="15.75" customHeight="1" s="171"/>
    <row r="588" ht="15.75" customHeight="1" s="171"/>
    <row r="589" ht="15.75" customHeight="1" s="171"/>
    <row r="590" ht="15.75" customHeight="1" s="171"/>
    <row r="591" ht="15.75" customHeight="1" s="171"/>
    <row r="592" ht="15.75" customHeight="1" s="171"/>
    <row r="593" ht="15.75" customHeight="1" s="171"/>
    <row r="594" ht="15.75" customHeight="1" s="171"/>
    <row r="595" ht="15.75" customHeight="1" s="171"/>
    <row r="596" ht="15.75" customHeight="1" s="171"/>
    <row r="597" ht="15.75" customHeight="1" s="171"/>
    <row r="598" ht="15.75" customHeight="1" s="171"/>
    <row r="599" ht="15.75" customHeight="1" s="171"/>
    <row r="600" ht="15.75" customHeight="1" s="171"/>
    <row r="601" ht="15.75" customHeight="1" s="171"/>
    <row r="602" ht="15.75" customHeight="1" s="171"/>
    <row r="603" ht="15.75" customHeight="1" s="171"/>
    <row r="604" ht="15.75" customHeight="1" s="171"/>
    <row r="605" ht="15.75" customHeight="1" s="171"/>
    <row r="606" ht="15.75" customHeight="1" s="171"/>
    <row r="607" ht="15.75" customHeight="1" s="171"/>
    <row r="608" ht="15.75" customHeight="1" s="171"/>
    <row r="609" ht="15.75" customHeight="1" s="171"/>
    <row r="610" ht="15.75" customHeight="1" s="171"/>
    <row r="611" ht="15.75" customHeight="1" s="171"/>
    <row r="612" ht="15.75" customHeight="1" s="171"/>
    <row r="613" ht="15.75" customHeight="1" s="171"/>
    <row r="614" ht="15.75" customHeight="1" s="171"/>
    <row r="615" ht="15.75" customHeight="1" s="171"/>
    <row r="616" ht="15.75" customHeight="1" s="171"/>
    <row r="617" ht="15.75" customHeight="1" s="171"/>
    <row r="618" ht="15.75" customHeight="1" s="171"/>
    <row r="619" ht="15.75" customHeight="1" s="171"/>
    <row r="620" ht="15.75" customHeight="1" s="171"/>
    <row r="621" ht="15.75" customHeight="1" s="171"/>
    <row r="622" ht="15.75" customHeight="1" s="171"/>
    <row r="623" ht="15.75" customHeight="1" s="171"/>
    <row r="624" ht="15.75" customHeight="1" s="171"/>
    <row r="625" ht="15.75" customHeight="1" s="171"/>
    <row r="626" ht="15.75" customHeight="1" s="171"/>
    <row r="627" ht="15.75" customHeight="1" s="171"/>
    <row r="628" ht="15.75" customHeight="1" s="171"/>
    <row r="629" ht="15.75" customHeight="1" s="171"/>
    <row r="630" ht="15.75" customHeight="1" s="171"/>
    <row r="631" ht="15.75" customHeight="1" s="171"/>
    <row r="632" ht="15.75" customHeight="1" s="171"/>
    <row r="633" ht="15.75" customHeight="1" s="171"/>
    <row r="634" ht="15.75" customHeight="1" s="171"/>
    <row r="635" ht="15.75" customHeight="1" s="171"/>
    <row r="636" ht="15.75" customHeight="1" s="171"/>
    <row r="637" ht="15.75" customHeight="1" s="171"/>
    <row r="638" ht="15.75" customHeight="1" s="171"/>
    <row r="639" ht="15.75" customHeight="1" s="171"/>
    <row r="640" ht="15.75" customHeight="1" s="171"/>
    <row r="641" ht="15.75" customHeight="1" s="171"/>
    <row r="642" ht="15.75" customHeight="1" s="171"/>
    <row r="643" ht="15.75" customHeight="1" s="171"/>
    <row r="644" ht="15.75" customHeight="1" s="171"/>
    <row r="645" ht="15.75" customHeight="1" s="171"/>
    <row r="646" ht="15.75" customHeight="1" s="171"/>
    <row r="647" ht="15.75" customHeight="1" s="171"/>
    <row r="648" ht="15.75" customHeight="1" s="171"/>
    <row r="649" ht="15.75" customHeight="1" s="171"/>
    <row r="650" ht="15.75" customHeight="1" s="171"/>
    <row r="651" ht="15.75" customHeight="1" s="171"/>
    <row r="652" ht="15.75" customHeight="1" s="171"/>
    <row r="653" ht="15.75" customHeight="1" s="171"/>
    <row r="654" ht="15.75" customHeight="1" s="171"/>
    <row r="655" ht="15.75" customHeight="1" s="171"/>
    <row r="656" ht="15.75" customHeight="1" s="171"/>
    <row r="657" ht="15.75" customHeight="1" s="171"/>
    <row r="658" ht="15.75" customHeight="1" s="171"/>
    <row r="659" ht="15.75" customHeight="1" s="171"/>
    <row r="660" ht="15.75" customHeight="1" s="171"/>
    <row r="661" ht="15.75" customHeight="1" s="171"/>
    <row r="662" ht="15.75" customHeight="1" s="171"/>
    <row r="663" ht="15.75" customHeight="1" s="171"/>
    <row r="664" ht="15.75" customHeight="1" s="171"/>
    <row r="665" ht="15.75" customHeight="1" s="171"/>
    <row r="666" ht="15.75" customHeight="1" s="171"/>
    <row r="667" ht="15.75" customHeight="1" s="171"/>
    <row r="668" ht="15.75" customHeight="1" s="171"/>
    <row r="669" ht="15.75" customHeight="1" s="171"/>
    <row r="670" ht="15.75" customHeight="1" s="171"/>
    <row r="671" ht="15.75" customHeight="1" s="171"/>
    <row r="672" ht="15.75" customHeight="1" s="171"/>
    <row r="673" ht="15.75" customHeight="1" s="171"/>
    <row r="674" ht="15.75" customHeight="1" s="171"/>
    <row r="675" ht="15.75" customHeight="1" s="171"/>
    <row r="676" ht="15.75" customHeight="1" s="171"/>
    <row r="677" ht="15.75" customHeight="1" s="171"/>
    <row r="678" ht="15.75" customHeight="1" s="171"/>
    <row r="679" ht="15.75" customHeight="1" s="171"/>
    <row r="680" ht="15.75" customHeight="1" s="171"/>
    <row r="681" ht="15.75" customHeight="1" s="171"/>
    <row r="682" ht="15.75" customHeight="1" s="171"/>
    <row r="683" ht="15.75" customHeight="1" s="171"/>
    <row r="684" ht="15.75" customHeight="1" s="171"/>
    <row r="685" ht="15.75" customHeight="1" s="171"/>
    <row r="686" ht="15.75" customHeight="1" s="171"/>
    <row r="687" ht="15.75" customHeight="1" s="171"/>
    <row r="688" ht="15.75" customHeight="1" s="171"/>
    <row r="689" ht="15.75" customHeight="1" s="171"/>
    <row r="690" ht="15.75" customHeight="1" s="171"/>
    <row r="691" ht="15.75" customHeight="1" s="171"/>
    <row r="692" ht="15.75" customHeight="1" s="171"/>
    <row r="693" ht="15.75" customHeight="1" s="171"/>
    <row r="694" ht="15.75" customHeight="1" s="171"/>
    <row r="695" ht="15.75" customHeight="1" s="171"/>
    <row r="696" ht="15.75" customHeight="1" s="171"/>
    <row r="697" ht="15.75" customHeight="1" s="171"/>
    <row r="698" ht="15.75" customHeight="1" s="171"/>
    <row r="699" ht="15.75" customHeight="1" s="171"/>
    <row r="700" ht="15.75" customHeight="1" s="171"/>
    <row r="701" ht="15.75" customHeight="1" s="171"/>
    <row r="702" ht="15.75" customHeight="1" s="171"/>
    <row r="703" ht="15.75" customHeight="1" s="171"/>
    <row r="704" ht="15.75" customHeight="1" s="171"/>
    <row r="705" ht="15.75" customHeight="1" s="171"/>
    <row r="706" ht="15.75" customHeight="1" s="171"/>
    <row r="707" ht="15.75" customHeight="1" s="171"/>
    <row r="708" ht="15.75" customHeight="1" s="171"/>
    <row r="709" ht="15.75" customHeight="1" s="171"/>
    <row r="710" ht="15.75" customHeight="1" s="171"/>
    <row r="711" ht="15.75" customHeight="1" s="171"/>
    <row r="712" ht="15.75" customHeight="1" s="171"/>
    <row r="713" ht="15.75" customHeight="1" s="171"/>
    <row r="714" ht="15.75" customHeight="1" s="171"/>
    <row r="715" ht="15.75" customHeight="1" s="171"/>
    <row r="716" ht="15.75" customHeight="1" s="171"/>
    <row r="717" ht="15.75" customHeight="1" s="171"/>
    <row r="718" ht="15.75" customHeight="1" s="171"/>
    <row r="719" ht="15.75" customHeight="1" s="171"/>
    <row r="720" ht="15.75" customHeight="1" s="171"/>
    <row r="721" ht="15.75" customHeight="1" s="171"/>
    <row r="722" ht="15.75" customHeight="1" s="171"/>
    <row r="723" ht="15.75" customHeight="1" s="171"/>
    <row r="724" ht="15.75" customHeight="1" s="171"/>
    <row r="725" ht="15.75" customHeight="1" s="171"/>
    <row r="726" ht="15.75" customHeight="1" s="171"/>
    <row r="727" ht="15.75" customHeight="1" s="171"/>
    <row r="728" ht="15.75" customHeight="1" s="171"/>
    <row r="729" ht="15.75" customHeight="1" s="171"/>
    <row r="730" ht="15.75" customHeight="1" s="171"/>
    <row r="731" ht="15.75" customHeight="1" s="171"/>
    <row r="732" ht="15.75" customHeight="1" s="171"/>
    <row r="733" ht="15.75" customHeight="1" s="171"/>
    <row r="734" ht="15.75" customHeight="1" s="171"/>
    <row r="735" ht="15.75" customHeight="1" s="171"/>
    <row r="736" ht="15.75" customHeight="1" s="171"/>
    <row r="737" ht="15.75" customHeight="1" s="171"/>
    <row r="738" ht="15.75" customHeight="1" s="171"/>
    <row r="739" ht="15.75" customHeight="1" s="171"/>
    <row r="740" ht="15.75" customHeight="1" s="171"/>
    <row r="741" ht="15.75" customHeight="1" s="171"/>
    <row r="742" ht="15.75" customHeight="1" s="171"/>
    <row r="743" ht="15.75" customHeight="1" s="171"/>
    <row r="744" ht="15.75" customHeight="1" s="171"/>
    <row r="745" ht="15.75" customHeight="1" s="171"/>
    <row r="746" ht="15.75" customHeight="1" s="171"/>
    <row r="747" ht="15.75" customHeight="1" s="171"/>
    <row r="748" ht="15.75" customHeight="1" s="171"/>
    <row r="749" ht="15.75" customHeight="1" s="171"/>
    <row r="750" ht="15.75" customHeight="1" s="171"/>
    <row r="751" ht="15.75" customHeight="1" s="171"/>
    <row r="752" ht="15.75" customHeight="1" s="171"/>
    <row r="753" ht="15.75" customHeight="1" s="171"/>
    <row r="754" ht="15.75" customHeight="1" s="171"/>
    <row r="755" ht="15.75" customHeight="1" s="171"/>
    <row r="756" ht="15.75" customHeight="1" s="171"/>
    <row r="757" ht="15.75" customHeight="1" s="171"/>
    <row r="758" ht="15.75" customHeight="1" s="171"/>
    <row r="759" ht="15.75" customHeight="1" s="171"/>
    <row r="760" ht="15.75" customHeight="1" s="171"/>
    <row r="761" ht="15.75" customHeight="1" s="171"/>
    <row r="762" ht="15.75" customHeight="1" s="171"/>
    <row r="763" ht="15.75" customHeight="1" s="171"/>
    <row r="764" ht="15.75" customHeight="1" s="171"/>
    <row r="765" ht="15.75" customHeight="1" s="171"/>
    <row r="766" ht="15.75" customHeight="1" s="171"/>
    <row r="767" ht="15.75" customHeight="1" s="171"/>
    <row r="768" ht="15.75" customHeight="1" s="171"/>
    <row r="769" ht="15.75" customHeight="1" s="171"/>
    <row r="770" ht="15.75" customHeight="1" s="171"/>
    <row r="771" ht="15.75" customHeight="1" s="171"/>
    <row r="772" ht="15.75" customHeight="1" s="171"/>
    <row r="773" ht="15.75" customHeight="1" s="171"/>
    <row r="774" ht="15.75" customHeight="1" s="171"/>
    <row r="775" ht="15.75" customHeight="1" s="171"/>
    <row r="776" ht="15.75" customHeight="1" s="171"/>
    <row r="777" ht="15.75" customHeight="1" s="171"/>
    <row r="778" ht="15.75" customHeight="1" s="171"/>
    <row r="779" ht="15.75" customHeight="1" s="171"/>
    <row r="780" ht="15.75" customHeight="1" s="171"/>
    <row r="781" ht="15.75" customHeight="1" s="171"/>
    <row r="782" ht="15.75" customHeight="1" s="171"/>
    <row r="783" ht="15.75" customHeight="1" s="171"/>
    <row r="784" ht="15.75" customHeight="1" s="171"/>
    <row r="785" ht="15.75" customHeight="1" s="171"/>
    <row r="786" ht="15.75" customHeight="1" s="171"/>
    <row r="787" ht="15.75" customHeight="1" s="171"/>
    <row r="788" ht="15.75" customHeight="1" s="171"/>
    <row r="789" ht="15.75" customHeight="1" s="171"/>
    <row r="790" ht="15.75" customHeight="1" s="171"/>
    <row r="791" ht="15.75" customHeight="1" s="171"/>
    <row r="792" ht="15.75" customHeight="1" s="171"/>
    <row r="793" ht="15.75" customHeight="1" s="171"/>
    <row r="794" ht="15.75" customHeight="1" s="171"/>
    <row r="795" ht="15.75" customHeight="1" s="171"/>
    <row r="796" ht="15.75" customHeight="1" s="171"/>
    <row r="797" ht="15.75" customHeight="1" s="171"/>
    <row r="798" ht="15.75" customHeight="1" s="171"/>
    <row r="799" ht="15.75" customHeight="1" s="171"/>
    <row r="800" ht="15.75" customHeight="1" s="171"/>
    <row r="801" ht="15.75" customHeight="1" s="171"/>
    <row r="802" ht="15.75" customHeight="1" s="171"/>
    <row r="803" ht="15.75" customHeight="1" s="171"/>
    <row r="804" ht="15.75" customHeight="1" s="171"/>
    <row r="805" ht="15.75" customHeight="1" s="171"/>
    <row r="806" ht="15.75" customHeight="1" s="171"/>
    <row r="807" ht="15.75" customHeight="1" s="171"/>
    <row r="808" ht="15.75" customHeight="1" s="171"/>
    <row r="809" ht="15.75" customHeight="1" s="171"/>
    <row r="810" ht="15.75" customHeight="1" s="171"/>
    <row r="811" ht="15.75" customHeight="1" s="171"/>
    <row r="812" ht="15.75" customHeight="1" s="171"/>
    <row r="813" ht="15.75" customHeight="1" s="171"/>
    <row r="814" ht="15.75" customHeight="1" s="171"/>
    <row r="815" ht="15.75" customHeight="1" s="171"/>
    <row r="816" ht="15.75" customHeight="1" s="171"/>
    <row r="817" ht="15.75" customHeight="1" s="171"/>
    <row r="818" ht="15.75" customHeight="1" s="171"/>
    <row r="819" ht="15.75" customHeight="1" s="171"/>
    <row r="820" ht="15.75" customHeight="1" s="171"/>
    <row r="821" ht="15.75" customHeight="1" s="171"/>
    <row r="822" ht="15.75" customHeight="1" s="171"/>
    <row r="823" ht="15.75" customHeight="1" s="171"/>
    <row r="824" ht="15.75" customHeight="1" s="171"/>
    <row r="825" ht="15.75" customHeight="1" s="171"/>
    <row r="826" ht="15.75" customHeight="1" s="171"/>
    <row r="827" ht="15.75" customHeight="1" s="171"/>
    <row r="828" ht="15.75" customHeight="1" s="171"/>
    <row r="829" ht="15.75" customHeight="1" s="171"/>
    <row r="830" ht="15.75" customHeight="1" s="171"/>
    <row r="831" ht="15.75" customHeight="1" s="171"/>
    <row r="832" ht="15.75" customHeight="1" s="171"/>
    <row r="833" ht="15.75" customHeight="1" s="171"/>
    <row r="834" ht="15.75" customHeight="1" s="171"/>
    <row r="835" ht="15.75" customHeight="1" s="171"/>
    <row r="836" ht="15.75" customHeight="1" s="171"/>
    <row r="837" ht="15.75" customHeight="1" s="171"/>
    <row r="838" ht="15.75" customHeight="1" s="171"/>
    <row r="839" ht="15.75" customHeight="1" s="171"/>
    <row r="840" ht="15.75" customHeight="1" s="171"/>
    <row r="841" ht="15.75" customHeight="1" s="171"/>
    <row r="842" ht="15.75" customHeight="1" s="171"/>
    <row r="843" ht="15.75" customHeight="1" s="171"/>
    <row r="844" ht="15.75" customHeight="1" s="171"/>
    <row r="845" ht="15.75" customHeight="1" s="171"/>
    <row r="846" ht="15.75" customHeight="1" s="171"/>
    <row r="847" ht="15.75" customHeight="1" s="171"/>
    <row r="848" ht="15.75" customHeight="1" s="171"/>
    <row r="849" ht="15.75" customHeight="1" s="171"/>
    <row r="850" ht="15.75" customHeight="1" s="171"/>
    <row r="851" ht="15.75" customHeight="1" s="171"/>
    <row r="852" ht="15.75" customHeight="1" s="171"/>
    <row r="853" ht="15.75" customHeight="1" s="171"/>
    <row r="854" ht="15.75" customHeight="1" s="171"/>
    <row r="855" ht="15.75" customHeight="1" s="171"/>
    <row r="856" ht="15.75" customHeight="1" s="171"/>
    <row r="857" ht="15.75" customHeight="1" s="171"/>
    <row r="858" ht="15.75" customHeight="1" s="171"/>
    <row r="859" ht="15.75" customHeight="1" s="171"/>
    <row r="860" ht="15.75" customHeight="1" s="171"/>
    <row r="861" ht="15.75" customHeight="1" s="171"/>
    <row r="862" ht="15.75" customHeight="1" s="171"/>
    <row r="863" ht="15.75" customHeight="1" s="171"/>
    <row r="864" ht="15.75" customHeight="1" s="171"/>
    <row r="865" ht="15.75" customHeight="1" s="171"/>
    <row r="866" ht="15.75" customHeight="1" s="171"/>
    <row r="867" ht="15.75" customHeight="1" s="171"/>
    <row r="868" ht="15.75" customHeight="1" s="171"/>
    <row r="869" ht="15.75" customHeight="1" s="171"/>
    <row r="870" ht="15.75" customHeight="1" s="171"/>
    <row r="871" ht="15.75" customHeight="1" s="171"/>
    <row r="872" ht="15.75" customHeight="1" s="171"/>
    <row r="873" ht="15.75" customHeight="1" s="171"/>
    <row r="874" ht="15.75" customHeight="1" s="171"/>
    <row r="875" ht="15.75" customHeight="1" s="171"/>
    <row r="876" ht="15.75" customHeight="1" s="171"/>
    <row r="877" ht="15.75" customHeight="1" s="171"/>
    <row r="878" ht="15.75" customHeight="1" s="171"/>
    <row r="879" ht="15.75" customHeight="1" s="171"/>
    <row r="880" ht="15.75" customHeight="1" s="171"/>
    <row r="881" ht="15.75" customHeight="1" s="171"/>
    <row r="882" ht="15.75" customHeight="1" s="171"/>
    <row r="883" ht="15.75" customHeight="1" s="171"/>
    <row r="884" ht="15.75" customHeight="1" s="171"/>
    <row r="885" ht="15.75" customHeight="1" s="171"/>
    <row r="886" ht="15.75" customHeight="1" s="171"/>
    <row r="887" ht="15.75" customHeight="1" s="171"/>
    <row r="888" ht="15.75" customHeight="1" s="171"/>
    <row r="889" ht="15.75" customHeight="1" s="171"/>
    <row r="890" ht="15.75" customHeight="1" s="171"/>
    <row r="891" ht="15.75" customHeight="1" s="171"/>
    <row r="892" ht="15.75" customHeight="1" s="171"/>
    <row r="893" ht="15.75" customHeight="1" s="171"/>
    <row r="894" ht="15.75" customHeight="1" s="171"/>
    <row r="895" ht="15.75" customHeight="1" s="171"/>
    <row r="896" ht="15.75" customHeight="1" s="171"/>
    <row r="897" ht="15.75" customHeight="1" s="171"/>
    <row r="898" ht="15.75" customHeight="1" s="171"/>
    <row r="899" ht="15.75" customHeight="1" s="171"/>
    <row r="900" ht="15.75" customHeight="1" s="171"/>
    <row r="901" ht="15.75" customHeight="1" s="171"/>
    <row r="902" ht="15.75" customHeight="1" s="171"/>
    <row r="903" ht="15.75" customHeight="1" s="171"/>
    <row r="904" ht="15.75" customHeight="1" s="171"/>
    <row r="905" ht="15.75" customHeight="1" s="171"/>
    <row r="906" ht="15.75" customHeight="1" s="171"/>
    <row r="907" ht="15.75" customHeight="1" s="171"/>
    <row r="908" ht="15.75" customHeight="1" s="171"/>
    <row r="909" ht="15.75" customHeight="1" s="171"/>
    <row r="910" ht="15.75" customHeight="1" s="171"/>
    <row r="911" ht="15.75" customHeight="1" s="171"/>
    <row r="912" ht="15.75" customHeight="1" s="171"/>
    <row r="913" ht="15.75" customHeight="1" s="171"/>
    <row r="914" ht="15.75" customHeight="1" s="171"/>
    <row r="915" ht="15.75" customHeight="1" s="171"/>
    <row r="916" ht="15.75" customHeight="1" s="171"/>
    <row r="917" ht="15.75" customHeight="1" s="171"/>
    <row r="918" ht="15.75" customHeight="1" s="171"/>
    <row r="919" ht="15.75" customHeight="1" s="171"/>
    <row r="920" ht="15.75" customHeight="1" s="171"/>
    <row r="921" ht="15.75" customHeight="1" s="171"/>
    <row r="922" ht="15.75" customHeight="1" s="171"/>
    <row r="923" ht="15.75" customHeight="1" s="171"/>
    <row r="924" ht="15.75" customHeight="1" s="171"/>
    <row r="925" ht="15.75" customHeight="1" s="171"/>
    <row r="926" ht="15.75" customHeight="1" s="171"/>
    <row r="927" ht="15.75" customHeight="1" s="171"/>
    <row r="928" ht="15.75" customHeight="1" s="171"/>
    <row r="929" ht="15.75" customHeight="1" s="171"/>
    <row r="930" ht="15.75" customHeight="1" s="171"/>
    <row r="931" ht="15.75" customHeight="1" s="171"/>
    <row r="932" ht="15.75" customHeight="1" s="171"/>
    <row r="933" ht="15.75" customHeight="1" s="171"/>
    <row r="934" ht="15.75" customHeight="1" s="171"/>
    <row r="935" ht="15.75" customHeight="1" s="171"/>
    <row r="936" ht="15.75" customHeight="1" s="171"/>
    <row r="937" ht="15.75" customHeight="1" s="171"/>
    <row r="938" ht="15.75" customHeight="1" s="171"/>
    <row r="939" ht="15.75" customHeight="1" s="171"/>
    <row r="940" ht="15.75" customHeight="1" s="171"/>
    <row r="941" ht="15.75" customHeight="1" s="171"/>
    <row r="942" ht="15.75" customHeight="1" s="171"/>
    <row r="943" ht="15.75" customHeight="1" s="171"/>
    <row r="944" ht="15.75" customHeight="1" s="171"/>
    <row r="945" ht="15.75" customHeight="1" s="171"/>
    <row r="946" ht="15.75" customHeight="1" s="171"/>
    <row r="947" ht="15.75" customHeight="1" s="171"/>
    <row r="948" ht="15.75" customHeight="1" s="171"/>
    <row r="949" ht="15.75" customHeight="1" s="171"/>
    <row r="950" ht="15.75" customHeight="1" s="171"/>
    <row r="951" ht="15.75" customHeight="1" s="171"/>
    <row r="952" ht="15.75" customHeight="1" s="171"/>
    <row r="953" ht="15.75" customHeight="1" s="171"/>
    <row r="954" ht="15.75" customHeight="1" s="171"/>
    <row r="955" ht="15.75" customHeight="1" s="171"/>
    <row r="956" ht="15.75" customHeight="1" s="171"/>
    <row r="957" ht="15.75" customHeight="1" s="171"/>
    <row r="958" ht="15.75" customHeight="1" s="171"/>
    <row r="959" ht="15.75" customHeight="1" s="171"/>
    <row r="960" ht="15.75" customHeight="1" s="171"/>
    <row r="961" ht="15.75" customHeight="1" s="171"/>
    <row r="962" ht="15.75" customHeight="1" s="171"/>
    <row r="963" ht="15.75" customHeight="1" s="171"/>
    <row r="964" ht="15.75" customHeight="1" s="171"/>
    <row r="965" ht="15.75" customHeight="1" s="171"/>
    <row r="966" ht="15.75" customHeight="1" s="171"/>
    <row r="967" ht="15.75" customHeight="1" s="171"/>
    <row r="968" ht="15.75" customHeight="1" s="171"/>
    <row r="969" ht="15.75" customHeight="1" s="171"/>
    <row r="970" ht="15.75" customHeight="1" s="171"/>
    <row r="971" ht="15.75" customHeight="1" s="171"/>
    <row r="972" ht="15.75" customHeight="1" s="171"/>
    <row r="973" ht="15.75" customHeight="1" s="171"/>
    <row r="974" ht="15.75" customHeight="1" s="171"/>
    <row r="975" ht="15.75" customHeight="1" s="171"/>
    <row r="976" ht="15.75" customHeight="1" s="171"/>
    <row r="977" ht="15.75" customHeight="1" s="171"/>
    <row r="978" ht="15.75" customHeight="1" s="171"/>
    <row r="979" ht="15.75" customHeight="1" s="171"/>
    <row r="980" ht="15.75" customHeight="1" s="171"/>
    <row r="981" ht="15.75" customHeight="1" s="171"/>
    <row r="982" ht="15.75" customHeight="1" s="171"/>
    <row r="983" ht="15.75" customHeight="1" s="171"/>
    <row r="984" ht="15.75" customHeight="1" s="171"/>
    <row r="985" ht="15.75" customHeight="1" s="171"/>
    <row r="986" ht="15.75" customHeight="1" s="171"/>
    <row r="987" ht="15.75" customHeight="1" s="171"/>
    <row r="988" ht="15.75" customHeight="1" s="171"/>
    <row r="989" ht="15.75" customHeight="1" s="171"/>
    <row r="990" ht="15.75" customHeight="1" s="171"/>
    <row r="991" ht="15.75" customHeight="1" s="171"/>
    <row r="992" ht="15.75" customHeight="1" s="171"/>
    <row r="993" ht="15.75" customHeight="1" s="171"/>
    <row r="994" ht="15.75" customHeight="1" s="171"/>
    <row r="995" ht="15.75" customHeight="1" s="171"/>
    <row r="996" ht="15.75" customHeight="1" s="171"/>
    <row r="997" ht="15.75" customHeight="1" s="171"/>
    <row r="998" ht="15.75" customHeight="1" s="171"/>
    <row r="999" ht="15.75" customHeight="1" s="171"/>
    <row r="1000" ht="15.75" customHeight="1" s="171"/>
  </sheetData>
  <mergeCells count="2">
    <mergeCell ref="A1:E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81ACA6"/>
    <outlinePr summaryBelow="1" summaryRight="1"/>
    <pageSetUpPr fitToPage="0"/>
  </sheetPr>
  <dimension ref="A1:S40"/>
  <sheetViews>
    <sheetView showFormulas="0" showGridLines="1" showRowColHeaders="1" showZeros="1" rightToLeft="0" tabSelected="0" showOutlineSymbols="1" defaultGridColor="1" view="normal" topLeftCell="A9" colorId="64" zoomScale="100" zoomScaleNormal="100" zoomScalePageLayoutView="100" workbookViewId="0">
      <selection pane="topLeft" activeCell="K15" activeCellId="0" sqref="K15"/>
    </sheetView>
  </sheetViews>
  <sheetFormatPr baseColWidth="8" defaultColWidth="8.4296875" defaultRowHeight="15" zeroHeight="0" outlineLevelRow="0"/>
  <cols>
    <col width="13" customWidth="1" style="170" min="1" max="1"/>
    <col width="30" customWidth="1" style="170" min="2" max="2"/>
    <col width="8" customWidth="1" style="170" min="3" max="3"/>
    <col width="10" customWidth="1" style="170" min="4" max="4"/>
    <col width="11" customWidth="1" style="170" min="5" max="5"/>
    <col width="12" customWidth="1" style="170" min="6" max="6"/>
    <col width="30" customWidth="1" style="170" min="7" max="7"/>
    <col width="52" customWidth="1" style="170" min="8" max="10"/>
    <col width="14" customWidth="1" style="170" min="11" max="11"/>
    <col width="55" customWidth="1" style="170" min="12" max="12"/>
    <col width="12" customWidth="1" style="170" min="13" max="14"/>
    <col width="14" customWidth="1" style="170" min="15" max="16"/>
    <col width="26" customWidth="1" style="170" min="17" max="17"/>
  </cols>
  <sheetData>
    <row r="1" ht="15" customHeight="1" s="171">
      <c r="A1" s="172" t="inlineStr">
        <is>
          <t>Daily Prep Schedule — what has to happen, day by day</t>
        </is>
      </c>
      <c r="B1" s="173" t="n"/>
      <c r="C1" s="173" t="n"/>
      <c r="D1" s="173" t="n"/>
      <c r="E1" s="173" t="n"/>
      <c r="F1" s="173" t="n"/>
      <c r="G1" s="173" t="n"/>
      <c r="H1" s="173" t="n"/>
      <c r="I1" s="173" t="n"/>
    </row>
    <row r="2" ht="54" customHeight="1" s="171">
      <c r="A2" s="174" t="inlineStr">
        <is>
          <t>THE RUN SHEET. Recipes and quantities live on 'Jug Recipes'; bulk camp drinks on 'Camp Drinks'. Nothing here feeds the budget — it is purely operating, and it is the tab to build bartender instructions from. TWO LAYERS, DELIBERATELY SEPARATE: column I is DAILY INSTRUCTIONS, different every night, briefed before service on a card that changes. The block at row 13 is MAIN INSTRUCTIONS — true every shift, printed once and left up. Do not merge them; the point is that the daily card stays short enough to actually get read.</t>
        </is>
      </c>
    </row>
    <row r="3" ht="15" customHeight="1" s="171">
      <c r="A3" s="175" t="n"/>
      <c r="B3" s="175" t="n"/>
      <c r="C3" s="175" t="n"/>
      <c r="D3" s="175" t="n"/>
      <c r="E3" s="175" t="n"/>
      <c r="F3" s="175" t="n"/>
      <c r="G3" s="175" t="n"/>
      <c r="H3" s="175" t="n"/>
      <c r="I3" s="175" t="n"/>
      <c r="J3" s="175" t="n"/>
      <c r="K3" s="175" t="n"/>
      <c r="L3" s="175" t="n"/>
      <c r="M3" s="175" t="n"/>
      <c r="N3" s="175" t="n"/>
      <c r="O3" s="175" t="n"/>
      <c r="P3" s="175" t="n"/>
      <c r="Q3" s="175" t="n"/>
      <c r="R3" s="175" t="n"/>
      <c r="S3" s="175" t="n"/>
    </row>
    <row r="4" ht="15" customHeight="1" s="171">
      <c r="A4" s="195" t="inlineStr">
        <is>
          <t>Day</t>
        </is>
      </c>
      <c r="B4" s="195" t="inlineStr">
        <is>
          <t>Tonight's jug</t>
        </is>
      </c>
      <c r="C4" s="195" t="inlineStr">
        <is>
          <t># jugs</t>
        </is>
      </c>
      <c r="D4" s="195" t="inlineStr">
        <is>
          <t>Servings</t>
        </is>
      </c>
      <c r="E4" s="300" t="inlineStr">
        <is>
          <t>Cold brew (gal)</t>
        </is>
      </c>
      <c r="F4" s="195" t="inlineStr">
        <is>
          <t>Electrolytes (gal)</t>
        </is>
      </c>
      <c r="G4" s="195" t="inlineStr">
        <is>
          <t>Also brew today</t>
        </is>
      </c>
      <c r="H4" s="195" t="inlineStr">
        <is>
          <t>PREP AHEAD — do today for tomorrow</t>
        </is>
      </c>
      <c r="I4" s="195" t="inlineStr">
        <is>
          <t>DAILY INSTRUCTIONS — brief the bar before service</t>
        </is>
      </c>
      <c r="J4" s="175" t="n"/>
      <c r="K4" s="175" t="n"/>
      <c r="L4" s="175" t="n"/>
      <c r="M4" s="175" t="n"/>
      <c r="N4" s="175" t="n"/>
      <c r="O4" s="175" t="n"/>
      <c r="P4" s="175" t="n"/>
      <c r="Q4" s="175" t="n"/>
      <c r="R4" s="170" t="n"/>
      <c r="S4" s="170" t="n"/>
    </row>
    <row r="5" ht="75.75" customHeight="1" s="171">
      <c r="A5" s="192">
        <f>'Jug Recipes'!A4</f>
        <v/>
      </c>
      <c r="B5" s="170">
        <f>'Jug Recipes'!C4</f>
        <v/>
      </c>
      <c r="C5" s="170">
        <f>'Jug Recipes'!B4</f>
        <v/>
      </c>
      <c r="D5" s="197">
        <f>'Jug Recipes'!E4</f>
        <v/>
      </c>
      <c r="E5" s="197">
        <f>Assumptions!$B$82</f>
        <v/>
      </c>
      <c r="F5" s="170">
        <f>Assumptions!$B$86</f>
        <v/>
      </c>
      <c r="G5" s="174" t="inlineStr">
        <is>
          <t>—</t>
        </is>
      </c>
      <c r="H5" s="174" t="inlineStr">
        <is>
          <t>Cold-steep the lapsang souchong overnight for Tuesday. NO LEMONADE TO MIX — as of 14 Aug 2026 it is bought ready-to-drink in 96 oz bottles, so the old ~3 gal mix-on-arrival session is gone; just open a bottle when the bar wants one. *** LOCALHOST NO LONGER NEEDS COLD-STEEPED HIBISCUS — it is a standard margarita from the mixer as of 11 Aug 2026. The only hibiscus steeps left are Wednesday's Red Flag jug and whichever Daily Tea batch is jamaica. *** Make it as CONCENTRATE — about a quart covers all 20 servings for the whole week and it keeps sealed, so it does not tie up a gallon container. Localhost is on the board from opening night and the next hibiscus steep is not until Tuesday, so if this is skipped the drink simply is not available for the first three days.</t>
        </is>
      </c>
      <c r="I5" s="174" t="inlineStr">
        <is>
          <t>OPENING NIGHT — nobody knows the board yet, including us. Keep recommendations to three drinks. CHERRY BOMB is Sprite-based: 2.5 oz Sprite + 1 oz soda water per serving. The soda water lengthens it without watering down the flavour — do not swap it for plain fill. LOCALHOST (Margarita) is a standard margarita off the mixer as of 11 Aug 2026 — no hibiscus steep needed (see the prep column note on H5, which is correct; this line was stale and is fixed 21 Aug 2026).</t>
        </is>
      </c>
      <c r="R5" s="170" t="n"/>
      <c r="S5" s="170" t="n"/>
    </row>
    <row r="6" ht="75.75" customHeight="1" s="171">
      <c r="A6" s="192">
        <f>'Jug Recipes'!A5</f>
        <v/>
      </c>
      <c r="B6" s="170">
        <f>'Jug Recipes'!C5</f>
        <v/>
      </c>
      <c r="C6" s="170">
        <f>'Jug Recipes'!B5</f>
        <v/>
      </c>
      <c r="D6" s="197">
        <f>'Jug Recipes'!E5</f>
        <v/>
      </c>
      <c r="E6" s="197">
        <f>Assumptions!$B$82</f>
        <v/>
      </c>
      <c r="F6" s="170">
        <f>Assumptions!$B$86</f>
        <v/>
      </c>
      <c r="G6" s="174" t="inlineStr">
        <is>
          <t>—</t>
        </is>
      </c>
      <c r="H6" s="174" t="inlineStr">
        <is>
          <t>Cold-steep the dried hibiscus overnight for Wednesday's two jugs — still the biggest single prep of the week.</t>
        </is>
      </c>
      <c r="I6" s="174" t="inlineStr">
        <is>
          <t>HARD RESET has to be BLENDED AND STRAINED, not just blended. Slower than it looks — start before service, not during. Fill with STILL water, no tonic; a soda-water splash per cup if someone wants fizz. Optional Blanco Tequila turns it into a watermelon margarita.</t>
        </is>
      </c>
      <c r="R6" s="170" t="n"/>
      <c r="S6" s="170" t="n"/>
    </row>
    <row r="7" ht="75.75" customHeight="1" s="171">
      <c r="A7" s="192">
        <f>'Jug Recipes'!A6</f>
        <v/>
      </c>
      <c r="B7" s="170">
        <f>'Jug Recipes'!C6</f>
        <v/>
      </c>
      <c r="C7" s="170">
        <f>'Jug Recipes'!B6</f>
        <v/>
      </c>
      <c r="D7" s="197">
        <f>'Jug Recipes'!E6</f>
        <v/>
      </c>
      <c r="E7" s="196">
        <f>Assumptions!$B$82</f>
        <v/>
      </c>
      <c r="F7" s="175">
        <f>Assumptions!$B$86</f>
        <v/>
      </c>
      <c r="G7" s="174" t="inlineStr">
        <is>
          <t>—</t>
        </is>
      </c>
      <c r="H7" s="174" t="inlineStr">
        <is>
          <t>Nothing heavy. Check ice and cooler levels before the Wednesday push.</t>
        </is>
      </c>
      <c r="I7" s="174" t="inlineStr">
        <is>
          <t>SMOKE TEST — TASTE IT BEFORE IT GOES OUT. Lapsang runs from 'campfire' to 'ashtray' fast. If the overnight steep has gone over, cut it with more lemonade until it is drinkable. Build is 5 oz strong tea + 3 oz lemonade + 0.5 oz lime. Naturally still, so nothing is going flat on you.</t>
        </is>
      </c>
      <c r="J7" s="175" t="n"/>
      <c r="K7" s="175" t="n"/>
      <c r="L7" s="175" t="n"/>
      <c r="M7" s="175" t="n"/>
      <c r="N7" s="175" t="n"/>
      <c r="O7" s="175" t="n"/>
      <c r="P7" s="175" t="n"/>
      <c r="Q7" s="175" t="n"/>
      <c r="R7" s="170" t="n"/>
      <c r="S7" s="170" t="n"/>
    </row>
    <row r="8" ht="75.75" customHeight="1" s="171">
      <c r="A8" s="192">
        <f>'Jug Recipes'!A7</f>
        <v/>
      </c>
      <c r="B8" s="170">
        <f>'Jug Recipes'!C7</f>
        <v/>
      </c>
      <c r="C8" s="170">
        <f>'Jug Recipes'!B7</f>
        <v/>
      </c>
      <c r="D8" s="197">
        <f>'Jug Recipes'!E7</f>
        <v/>
      </c>
      <c r="E8" s="197">
        <f>Assumptions!$B$82</f>
        <v/>
      </c>
      <c r="F8" s="170">
        <f>Assumptions!$B$86</f>
        <v/>
      </c>
      <c r="G8" s="174" t="inlineStr">
        <is>
          <t>Winter melon tea — first half of the batch</t>
        </is>
      </c>
      <c r="H8" s="174" t="inlineStr">
        <is>
          <t>—</t>
        </is>
      </c>
      <c r="I8" s="174" t="inlineStr">
        <is>
          <t>TWO JUGS TONIGHT — 66 servings for the next-door party, double a normal night. Batch both BEFORE service opens; a jug built mid-rush is a jug built wrong. There are flowers in reserve for a third if it runs out — steep it as concentrate, see 'Jug Build Steps'. HIBISCUS STAINS: cups, hands, clothing. Say so before you hand it over, especially to anyone in white.</t>
        </is>
      </c>
      <c r="R8" s="170" t="n"/>
      <c r="S8" s="170" t="n"/>
    </row>
    <row r="9" ht="75.75" customHeight="1" s="171">
      <c r="A9" s="192">
        <f>'Jug Recipes'!A8</f>
        <v/>
      </c>
      <c r="B9" s="170">
        <f>'Jug Recipes'!C8</f>
        <v/>
      </c>
      <c r="C9" s="170">
        <f>'Jug Recipes'!B8</f>
        <v/>
      </c>
      <c r="D9" s="197">
        <f>'Jug Recipes'!E8</f>
        <v/>
      </c>
      <c r="E9" s="197">
        <f>Assumptions!$B$82</f>
        <v/>
      </c>
      <c r="F9" s="170">
        <f>Assumptions!$B$86</f>
        <v/>
      </c>
      <c r="G9" s="174" t="inlineStr">
        <is>
          <t>Mugicha — cold-steep overnight, first half</t>
        </is>
      </c>
      <c r="H9" s="198" t="inlineStr">
        <is>
          <t>—</t>
        </is>
      </c>
      <c r="I9" s="174" t="inlineStr">
        <is>
          <t>GRENADINE GOES IN THE CUP, NOT THE JUG. It sinks, and that sinking IS the sunrise gradient — batch it into the jug and you get flat orange sludge. Juice is deliberately cut to 7 oz per serving so it is not pure sugar in the heat.</t>
        </is>
      </c>
      <c r="R9" s="170" t="n"/>
      <c r="S9" s="170" t="n"/>
    </row>
    <row r="10" ht="75.75" customHeight="1" s="171">
      <c r="A10" s="192">
        <f>'Jug Recipes'!A9</f>
        <v/>
      </c>
      <c r="B10" s="170">
        <f>'Jug Recipes'!C9</f>
        <v/>
      </c>
      <c r="C10" s="170">
        <f>'Jug Recipes'!B9</f>
        <v/>
      </c>
      <c r="D10" s="197">
        <f>'Jug Recipes'!E9</f>
        <v/>
      </c>
      <c r="E10" s="197">
        <f>Assumptions!$B$82</f>
        <v/>
      </c>
      <c r="F10" s="170">
        <f>Assumptions!$B$86</f>
        <v/>
      </c>
      <c r="G10" s="174" t="inlineStr">
        <is>
          <t>Winter melon tea — second half</t>
        </is>
      </c>
      <c r="H10" s="174" t="inlineStr">
        <is>
          <t>*** THE BIG ONE. Prep EVERYTHING for Saturday tonight: hydrate the basil seeds, portion the aloe, cut and box all garnishes, cold-steep ~10 green teabags in ~2 gal for tomorrow’s jug, pre-portion the sakura syrup. ***</t>
        </is>
      </c>
      <c r="I10" s="198" t="inlineStr">
        <is>
          <t>*** THE BIG PREP NIGHT — SATURDAY IS MADE OR LOST TONIGHT. *** Hydrate the basil seeds, portion the aloe, cut and box every garnish, cold-steep the green tea for tomorrow’s jug, pre-portion the sakura syrup. WHORE-CHATA itself is easy: batched cold, coconut cream not dairy, optional Spiced Rum float.</t>
        </is>
      </c>
      <c r="R10" s="170" t="n"/>
      <c r="S10" s="170" t="n"/>
    </row>
    <row r="11" ht="75.75" customHeight="1" s="171">
      <c r="A11" s="192">
        <f>'Jug Recipes'!A10</f>
        <v/>
      </c>
      <c r="B11" s="170">
        <f>'Jug Recipes'!C10</f>
        <v/>
      </c>
      <c r="C11" s="170">
        <f>'Jug Recipes'!B10</f>
        <v/>
      </c>
      <c r="D11" s="197">
        <f>'Jug Recipes'!E10</f>
        <v/>
      </c>
      <c r="E11" s="170">
        <f>Assumptions!$B$82</f>
        <v/>
      </c>
      <c r="F11" s="170">
        <f>Assumptions!$B$86</f>
        <v/>
      </c>
      <c r="G11" s="174" t="inlineStr">
        <is>
          <t>Mugicha — second half</t>
        </is>
      </c>
      <c r="H11" s="174" t="inlineStr">
        <is>
          <t>Cold-steep a SECOND ~2 gal of green tea for the closing Sunday jug — same recipe as today’s, its own sealed container, labelled. Turtle Soup too, if there is enough left over to batch.</t>
        </is>
      </c>
      <c r="I11" s="198" t="inlineStr">
        <is>
          <t>SLEEP MODE IS THE SAME DRINK AS TOMORROW’S GRACEFUL SHUTDOWN, and that is deliberate. The jug is cold-steeped tea made last night: no Mountain Dew top-up, no spirulina, no stirring, nothing to keep fizzy. Build it, taste it before the ice, put it out and forget it — spend tonight on the builds instead. THE THREE REVEALS GO UP TODAY AND NOT BEFORE. Catboy Snot uses DRINKING aloe only. Busiest day of the week.</t>
        </is>
      </c>
      <c r="S11" s="170" t="n"/>
    </row>
    <row r="12" ht="75.75" customHeight="1" s="171">
      <c r="A12" s="192">
        <f>'Jug Recipes'!A11</f>
        <v/>
      </c>
      <c r="B12" s="170">
        <f>'Jug Recipes'!C11</f>
        <v/>
      </c>
      <c r="C12" s="170">
        <f>'Jug Recipes'!B11</f>
        <v/>
      </c>
      <c r="D12" s="197">
        <f>'Jug Recipes'!E11</f>
        <v/>
      </c>
      <c r="E12" s="170">
        <f>Assumptions!$B$82</f>
        <v/>
      </c>
      <c r="F12" s="170">
        <f>Assumptions!$B$86</f>
        <v/>
      </c>
      <c r="G12" s="174" t="inlineStr">
        <is>
          <t>—</t>
        </is>
      </c>
      <c r="H12" s="174" t="inlineStr">
        <is>
          <t>Teardown. Nothing to prep for tomorrow.</t>
        </is>
      </c>
      <c r="I12" s="198" t="inlineStr">
        <is>
          <t>CLOSING SUNDAY — DAYTIME SERVICE, not a night. One jug, cold-steeped Saturday night, plus whatever is left on the standing board. Cold brew and electrolytes run as normal today: Assumptions B81 counts eight days, so the grounds and the powder are bought for it. Good day to run the Turtle Soup sign.</t>
        </is>
      </c>
      <c r="S12" s="170" t="n"/>
    </row>
    <row r="13" ht="15" customHeight="1" s="171">
      <c r="A13" s="175" t="n"/>
    </row>
    <row r="14" ht="15" customHeight="1" s="171">
      <c r="A14" s="175" t="inlineStr">
        <is>
          <t>MAIN INSTRUCTIONS — the permanent card. True every shift; print once and leave it up.</t>
        </is>
      </c>
    </row>
    <row r="15" ht="27.75" customHeight="1" s="171">
      <c r="A15" s="174" t="inlineStr">
        <is>
          <t>THE POUR IS 8 OZ OVER ICE. Small on purpose — people try three things instead of abandoning one. TORANI PUMP = 1/4 OZ (4 pumps/oz) — 0.25 oz on a recipe is 1 pump, 0.5 oz is 2 pumps. Peach and vanilla doses were trimmed on a few builds 20 Aug 2026 (Dr's Peach Exam, Thirst Trap, Clear Cache) specifically to stretch the tighter peach stock — pour to the recipe, not by feel, on those three.</t>
        </is>
      </c>
    </row>
    <row r="16" ht="27.75" customHeight="1" s="171">
      <c r="A16" s="174" t="inlineStr">
        <is>
          <t>LIQUOR IS ALWAYS OPTIONAL AND ALWAYS 1.5 OZ. Ask; never assume. Every drink is complete without it.</t>
        </is>
      </c>
    </row>
    <row r="17" ht="27.75" customHeight="1" s="171">
      <c r="A17" s="174" t="inlineStr">
        <is>
          <t>SALT NEARLY EVERY JUG — about 1.5 tsp per 10 L. It is what makes a batch taste finished rather than watery in the heat. Same reason several built drinks get a pinch or a rim.</t>
        </is>
      </c>
    </row>
    <row r="18" ht="27.75" customHeight="1" s="171">
      <c r="A18" s="174" t="inlineStr">
        <is>
          <t>TAJÍN RIM ON FOUR: Michelada, A Ginger's Pickle, Catboy Piss, Shirley Temple of Doom. Fuzz Test takes a rim or a two-finger pinch of salt — that is what kills the grapefruit bitterness. Mint cube on the Fuzz Test IF THERE ARE ANY; never hold a build waiting for one.</t>
        </is>
      </c>
    </row>
    <row r="19" ht="27.75" customHeight="1" s="171">
      <c r="A19" s="174" t="inlineStr">
        <is>
          <t>STRAIGHT KOMBUCHA IS ALLOWED as of 14 Aug 2026 — the old "the answer is no" rule is gone. If someone asks for a plain kombucha, pour one. TWO LIMITS: it comes out of spare, roughly 10 pours across the whole week, so it is "yes, while it lasts" and NOT a board item; and POUR SUPERBERRY — Clear Mind and Island Mango are needed for Clear Cache and Tang Dynasty. A splash of Mountain Dew in any kombucha is the "make it dirty" option.</t>
        </is>
      </c>
    </row>
    <row r="20" ht="27.75" customHeight="1" s="171">
      <c r="A20" s="174" t="inlineStr">
        <is>
          <t>BEER, CIDER AND LAGER ARE HANDED OVER SEALED — do not pour them into a cup. The Radler is the exception: a HALF pour, one 16.9 oz can makes two servings, grapefruit wedge.</t>
        </is>
      </c>
    </row>
    <row r="21" ht="27.75" customHeight="1" s="171">
      <c r="A21" s="174" t="inlineStr">
        <is>
          <t>GRAPEFRUIT DOES DOUBLE DUTY — wheel on the straight sour ale, wedge on the Radler. Same fruit, one cutting board.</t>
        </is>
      </c>
    </row>
    <row r="22" ht="27.75" customHeight="1" s="171">
      <c r="A22" s="174" t="inlineStr">
        <is>
          <t>CREAM OF COCONUT, NEVER DAIRY. It will not curdle against citrus and nothing needs refrigeration. That is why creamy citrus drinks work here and would not at a normal bar.</t>
        </is>
      </c>
    </row>
    <row r="23" ht="27.75" customHeight="1" s="171">
      <c r="A23" s="174" t="inlineStr">
        <is>
          <t>ROOT ACCESS FOAMS — stir it gently or you will wear it.</t>
        </is>
      </c>
    </row>
    <row r="24" ht="27.75" customHeight="1" s="171">
      <c r="A24" s="174" t="inlineStr">
        <is>
          <t>CHAIN SAME-BASE ORDERS OFF ONE OPEN CAN — a can left standing is flat in half an hour. Do not crack a fresh Coke if one is already going. *** CAN SIZE IS NOT UNIFORM ANY MORE (14 Aug 2026): Sprite, Fanta and Coke arrived as 7.5 oz MINIS — a mini is two drinks, not three, so it empties fast and wastes little. Dr Pepper, ginger ale, Squirt and root beer are still 12 oz cans at 3-4 oz a drink. Check what is in your hand. ***</t>
        </is>
      </c>
    </row>
    <row r="25" ht="27.75" customHeight="1" s="171">
      <c r="A25" s="174" t="inlineStr">
        <is>
          <t>ITALIAN SODA IS ALWAYS AVAILABLE AND COSTS US ALMOST NOTHING: 1 oz of any syrup + 8 oz soda water + lime. It is the answer to 'do you have anything not too sweet?'</t>
        </is>
      </c>
    </row>
    <row r="26" ht="27.75" customHeight="1" s="171">
      <c r="A26" s="174" t="inlineStr">
        <is>
          <t>PUSH COLD BREW AND ELECTROLYTES ON ANYONE LOOKING COOKED. Made fresh daily, and they are the actual point of the camp.</t>
        </is>
      </c>
    </row>
    <row r="27" ht="27.75" customHeight="1" s="171">
      <c r="A27" s="198" t="inlineStr">
        <is>
          <t>*** THE SATURDAY REVEALS STAY OFF THE BOARD UNTIL SATURDAY — Sakura Kisses, Catboy Snot, Catboy Piss. Do not spoil them, do not pre-announce them. ***</t>
        </is>
      </c>
    </row>
    <row r="28" ht="27.75" customHeight="1" s="171">
      <c r="A28" s="198" t="inlineStr">
        <is>
          <t>*** CATBOY SNOT USES DRINKING ALOE — inner-fillet, decolorized. Whole-leaf or supplement aloe is a laxative. If you are not certain which bottle you have, do not serve it. ***</t>
        </is>
      </c>
    </row>
    <row r="29" ht="30" customHeight="1" s="171">
      <c r="A29" s="198" t="inlineStr">
        <is>
          <t>SCOBY-DEW IS RETIRED as of 11 Aug 2026 — there is only one SCOBY now. THE SCOBY MULE is kombucha + yuzu + agave + apple cider vinegar, topped with ginger beer: sharp and gingery, vodka-optional, off whichever kombucha bottle is open. If someone asks for the Dew one, that is now a splash of Mountain Dew into any kombucha build — ask if they want it dirty.</t>
        </is>
      </c>
    </row>
    <row r="30" ht="15" customHeight="1" s="171">
      <c r="A30" s="175" t="inlineStr">
        <is>
          <t>LEMON: BOTTLED OR FRESH, BARTENDER’S CHOICE — both are on the truck. Bottled ReaLemon (48 oz) is what the two peach-tea jugs are sized on, and there is a full spare bottle, so nothing depends on squeezing. Fresh lemons are bought in Reno purely so the option exists: use fresh if you want the brighter finish on a jug or someone asks for it, use bottled when it is busy. ONE LEMON ≈ 1.5 OZ (Assumptions B99), so a 16.5 oz jug charge is about 11 lemons — which is why bottled is the default on batch work. *** LIMES ARE DIFFERENT: every per-drink lime squeeze is FRESH, always. Do not swap bottled lime into a built drink. ***</t>
        </is>
      </c>
    </row>
    <row r="31" ht="27.75" customHeight="1" s="171">
      <c r="A31" s="198" t="inlineStr">
        <is>
          <t>EVERY DAY — standing setup tasks</t>
        </is>
      </c>
    </row>
    <row r="32" ht="27.75" customHeight="1" s="171">
      <c r="A32" s="174" t="inlineStr">
        <is>
          <t>Cold brew — 3 gal, and electrolytes — 5 gal. Every day, no exceptions. First things to run out. TANGERINE JUICE IS RATIONED — one quart out in the morning with the coffee, then put it away. Four quarts is the whole week.</t>
        </is>
      </c>
    </row>
    <row r="33" ht="27.75" customHeight="1" s="171">
      <c r="A33" s="174" t="inlineStr">
        <is>
          <t>Ice run and re-ice the tubs. Ice is not costed in this workbook — camp lead covers it.</t>
        </is>
      </c>
    </row>
    <row r="34" ht="27.75" customHeight="1" s="171">
      <c r="A34" s="174" t="inlineStr">
        <is>
          <t>Cut the day's garnishes into the resealable containers: grapefruit, lime, cucumber, mint, sage. Lids on, out of the dust.</t>
        </is>
      </c>
    </row>
    <row r="35" ht="27.75" customHeight="1" s="171">
      <c r="A35" s="174" t="inlineStr">
        <is>
          <t>Restock the cooler from dry storage so cans are cold BEFORE the rush, not during it.</t>
        </is>
      </c>
    </row>
    <row r="36" ht="15" customHeight="1" s="171">
      <c r="A36" s="174" t="inlineStr">
        <is>
          <t>Batch tonight's jug before service opens. Check the tea dispenser and top it up.</t>
        </is>
      </c>
    </row>
    <row r="37" ht="15" customHeight="1" s="171">
      <c r="A37" s="170" t="inlineStr">
        <is>
          <t>Check the Daily Tea and re-steep if it is low — 1.5 gal, cold-steeped overnight, and NEVER the same tea the jug is pouring tonight. Sun-Mon green / Tue jamaica / Wed lapsang / Thu-Fri green / Sat-Sun jamaica. There must always be one unsweetened tea on the bar.</t>
        </is>
      </c>
    </row>
    <row r="38" ht="43.5" customHeight="1" s="171">
      <c r="A38" s="175" t="n"/>
    </row>
    <row r="39" ht="25.5" customHeight="1" s="171">
      <c r="A39" s="174" t="inlineStr">
        <is>
          <t>SCALING UP</t>
        </is>
      </c>
    </row>
    <row r="40" ht="15" customHeight="1" s="171">
      <c r="A40" s="170" t="inlineStr">
        <is>
          <t>To pour more of a nightly special, change the # jugs on 'Jug Recipes' column B — servings, every ingredient quantity and the shopping list follow automatically, and the number reflects back into column C here. One jug is 10 L / 33 servings. THREE dispensers on the Supplies list: two for the nightly jug, so Wednesday's three means one gets refilled mid-service, plus a third reserved for the camp teas.</t>
        </is>
      </c>
    </row>
    <row r="1048576" ht="12.75" customHeight="1" s="171"/>
  </sheetData>
  <mergeCells count="24">
    <mergeCell ref="A25:I25"/>
    <mergeCell ref="A37:I37"/>
    <mergeCell ref="A18:I18"/>
    <mergeCell ref="A27:I27"/>
    <mergeCell ref="A26:I26"/>
    <mergeCell ref="A21:I21"/>
    <mergeCell ref="A2:I2"/>
    <mergeCell ref="A33:I33"/>
    <mergeCell ref="A32:I32"/>
    <mergeCell ref="A17:I17"/>
    <mergeCell ref="A23:I23"/>
    <mergeCell ref="A22:I22"/>
    <mergeCell ref="A35:I35"/>
    <mergeCell ref="A20:I20"/>
    <mergeCell ref="A29:I29"/>
    <mergeCell ref="A19:I19"/>
    <mergeCell ref="A28:I28"/>
    <mergeCell ref="A40:I40"/>
    <mergeCell ref="A34:I34"/>
    <mergeCell ref="A24:I24"/>
    <mergeCell ref="A30:I30"/>
    <mergeCell ref="A15:I15"/>
    <mergeCell ref="A36:I36"/>
    <mergeCell ref="A16:I1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FF81ACA6"/>
    <outlinePr summaryBelow="1" summaryRight="1"/>
    <pageSetUpPr fitToPage="0"/>
  </sheetPr>
  <dimension ref="A1:E85"/>
  <sheetViews>
    <sheetView showFormulas="0" showGridLines="1" showRowColHeaders="1" showZeros="1" rightToLeft="0" tabSelected="0" showOutlineSymbols="1" defaultGridColor="1" view="normal" topLeftCell="I100" colorId="64" zoomScale="100" zoomScaleNormal="100" zoomScalePageLayoutView="100" workbookViewId="0">
      <selection pane="topLeft" activeCell="R163" activeCellId="0" sqref="R163"/>
    </sheetView>
  </sheetViews>
  <sheetFormatPr baseColWidth="8" defaultColWidth="8.4296875" defaultRowHeight="15" zeroHeight="0" outlineLevelRow="0"/>
  <cols>
    <col width="40" customWidth="1" style="170" min="1" max="1"/>
    <col width="22" customWidth="1" style="170" min="2" max="2"/>
    <col width="30" customWidth="1" style="170" min="3" max="3"/>
    <col width="20" customWidth="1" style="170" min="4" max="5"/>
  </cols>
  <sheetData>
    <row r="1" ht="15" customHeight="1" s="171">
      <c r="A1" s="172" t="inlineStr">
        <is>
          <t>Service Availability — what is on offer, and when</t>
        </is>
      </c>
      <c r="B1" s="173" t="n"/>
      <c r="C1" s="173" t="n"/>
      <c r="D1" s="173" t="n"/>
    </row>
    <row r="2" ht="15" customHeight="1" s="171"/>
    <row r="3" ht="61.5" customHeight="1" s="171">
      <c r="A3" s="174" t="inlineStr">
        <is>
          <t>POST-KEG, ALMOST EVERYTHING IS ALWAYS ON. There are no tap lines left to rotate, so the old 'cider Sun-Mon, lager Wed-Thu' schedule is gone — every packaged drink is available any day the bar is open, limited only by what is left in the cooler. Only two things are still time-gated and both are deliberate: the Saturday Catboy Café reveals, and the one-per-night jug. FOR THE MENU DESIGNER: section 1 is the standing board, section 2 is a separate Saturday card that must not appear early, section 3 is a chalkboard that changes nightly, section 4 is its own sign.</t>
        </is>
      </c>
    </row>
    <row r="4" ht="15" customHeight="1" s="171">
      <c r="A4" s="175" t="n"/>
      <c r="B4" s="175" t="n"/>
      <c r="C4" s="175" t="n"/>
      <c r="D4" s="175" t="n"/>
      <c r="E4" s="175" t="n"/>
    </row>
    <row r="5" ht="15" customHeight="1" s="171">
      <c r="A5" s="175" t="inlineStr">
        <is>
          <t>1. ALL WEEK — always available, no day restriction</t>
        </is>
      </c>
    </row>
    <row r="6" ht="15" customHeight="1" s="171">
      <c r="A6" s="195" t="inlineStr">
        <is>
          <t>Drink</t>
        </is>
      </c>
      <c r="B6" s="195" t="inlineStr">
        <is>
          <t>Type</t>
        </is>
      </c>
      <c r="C6" s="195" t="inlineStr">
        <is>
          <t>Built or handed over?</t>
        </is>
      </c>
      <c r="D6" s="195" t="inlineStr">
        <is>
          <t>Liquor option</t>
        </is>
      </c>
    </row>
    <row r="7" ht="15" customHeight="1" s="171">
      <c r="A7" s="192">
        <f>'Dirty Soda - Built Drinks'!A3</f>
        <v/>
      </c>
      <c r="B7" s="229" t="inlineStr">
        <is>
          <t>Built to order</t>
        </is>
      </c>
      <c r="C7" s="229" t="inlineStr">
        <is>
          <t>Built to order</t>
        </is>
      </c>
      <c r="D7" s="229">
        <f>IF(OR('Dirty Soda - Built Drinks'!M3="",'Dirty Soda - Built Drinks'!M3=0),"—",'Dirty Soda - Built Drinks'!M3)</f>
        <v/>
      </c>
    </row>
    <row r="8" ht="15" customHeight="1" s="171">
      <c r="A8" s="192">
        <f>'Dirty Soda - Built Drinks'!A4</f>
        <v/>
      </c>
      <c r="B8" s="229" t="inlineStr">
        <is>
          <t>LESS SWEET — savoury</t>
        </is>
      </c>
      <c r="C8" s="229" t="inlineStr">
        <is>
          <t>Built to order. On the LESS SWEET block of the board — it is savoury, not sweet.</t>
        </is>
      </c>
      <c r="D8" s="229">
        <f>IF(OR('Dirty Soda - Built Drinks'!M4="",'Dirty Soda - Built Drinks'!M4=0),"—",'Dirty Soda - Built Drinks'!M4)</f>
        <v/>
      </c>
    </row>
    <row r="9" ht="15" customHeight="1" s="171">
      <c r="A9" s="192">
        <f>'Dirty Soda - Built Drinks'!A5</f>
        <v/>
      </c>
      <c r="B9" s="229" t="inlineStr">
        <is>
          <t>Built to order</t>
        </is>
      </c>
      <c r="C9" s="229" t="inlineStr">
        <is>
          <t>Built to order</t>
        </is>
      </c>
      <c r="D9" s="229">
        <f>IF(OR('Dirty Soda - Built Drinks'!M5="",'Dirty Soda - Built Drinks'!M5=0),"—",'Dirty Soda - Built Drinks'!M5)</f>
        <v/>
      </c>
    </row>
    <row r="10" ht="15" customHeight="1" s="171">
      <c r="A10" s="192">
        <f>'Dirty Soda - Built Drinks'!A6</f>
        <v/>
      </c>
      <c r="B10" s="301" t="inlineStr">
        <is>
          <t>Built to order</t>
        </is>
      </c>
      <c r="C10" s="229" t="inlineStr">
        <is>
          <t>Built to order</t>
        </is>
      </c>
      <c r="D10" s="229">
        <f>IF(OR('Dirty Soda - Built Drinks'!M6="",'Dirty Soda - Built Drinks'!M6=0),"—",'Dirty Soda - Built Drinks'!M6)</f>
        <v/>
      </c>
    </row>
    <row r="11" ht="15" customHeight="1" s="171">
      <c r="A11" s="192">
        <f>'Dirty Soda - Built Drinks'!A7</f>
        <v/>
      </c>
      <c r="B11" s="301" t="inlineStr">
        <is>
          <t>Built to order</t>
        </is>
      </c>
      <c r="C11" s="229" t="inlineStr">
        <is>
          <t>Built to order</t>
        </is>
      </c>
      <c r="D11" s="229">
        <f>IF(OR('Dirty Soda - Built Drinks'!M7="",'Dirty Soda - Built Drinks'!M7=0),"—",'Dirty Soda - Built Drinks'!M7)</f>
        <v/>
      </c>
    </row>
    <row r="12" ht="15" customHeight="1" s="171">
      <c r="A12" s="192">
        <f>'Dirty Soda - Built Drinks'!A8</f>
        <v/>
      </c>
      <c r="B12" s="229" t="inlineStr">
        <is>
          <t>Built to order</t>
        </is>
      </c>
      <c r="C12" s="229" t="inlineStr">
        <is>
          <t>Built to order</t>
        </is>
      </c>
      <c r="D12" s="229">
        <f>IF(OR('Dirty Soda - Built Drinks'!M8="",'Dirty Soda - Built Drinks'!M8=0),"—",'Dirty Soda - Built Drinks'!M8)</f>
        <v/>
      </c>
    </row>
    <row r="13" ht="15" customHeight="1" s="171">
      <c r="A13" s="192">
        <f>'Dirty Soda - Built Drinks'!A9</f>
        <v/>
      </c>
      <c r="B13" s="229" t="inlineStr">
        <is>
          <t>Built to order</t>
        </is>
      </c>
      <c r="C13" s="229" t="inlineStr">
        <is>
          <t>Built to order</t>
        </is>
      </c>
      <c r="D13" s="229">
        <f>IF(OR('Dirty Soda - Built Drinks'!M9="",'Dirty Soda - Built Drinks'!M9=0),"—",'Dirty Soda - Built Drinks'!M9)</f>
        <v/>
      </c>
    </row>
    <row r="14" ht="109.5" customHeight="1" s="171">
      <c r="A14" s="302">
        <f>'Dirty Soda - Built Drinks'!A10</f>
        <v/>
      </c>
      <c r="B14" s="229" t="inlineStr">
        <is>
          <t>Built to order</t>
        </is>
      </c>
      <c r="C14" s="229" t="inlineStr">
        <is>
          <t>Built to order</t>
        </is>
      </c>
      <c r="D14" s="229">
        <f>IF(OR('Dirty Soda - Built Drinks'!M10="",'Dirty Soda - Built Drinks'!M10=0),"—",'Dirty Soda - Built Drinks'!M10)</f>
        <v/>
      </c>
    </row>
    <row r="15" ht="15" customHeight="1" s="171">
      <c r="A15" s="192">
        <f>'Dirty Soda - Built Drinks'!A11</f>
        <v/>
      </c>
      <c r="B15" s="229" t="inlineStr">
        <is>
          <t>Built to order</t>
        </is>
      </c>
      <c r="C15" s="229" t="inlineStr">
        <is>
          <t>Built to order</t>
        </is>
      </c>
      <c r="D15" s="229">
        <f>IF(OR('Dirty Soda - Built Drinks'!M11="",'Dirty Soda - Built Drinks'!M11=0),"—",'Dirty Soda - Built Drinks'!M11)</f>
        <v/>
      </c>
    </row>
    <row r="16" ht="15" customHeight="1" s="171">
      <c r="A16" s="192">
        <f>'Dirty Soda - Built Drinks'!A12</f>
        <v/>
      </c>
      <c r="B16" s="229" t="inlineStr">
        <is>
          <t>Built to order</t>
        </is>
      </c>
      <c r="C16" s="229" t="inlineStr">
        <is>
          <t>Built to order</t>
        </is>
      </c>
      <c r="D16" s="229">
        <f>IF(OR('Dirty Soda - Built Drinks'!M12="",'Dirty Soda - Built Drinks'!M12=0),"—",'Dirty Soda - Built Drinks'!M12)</f>
        <v/>
      </c>
    </row>
    <row r="17" ht="15" customHeight="1" s="171">
      <c r="A17" s="192">
        <f>'Dirty Soda - Built Drinks'!A14</f>
        <v/>
      </c>
      <c r="B17" s="229" t="inlineStr">
        <is>
          <t>Built to order</t>
        </is>
      </c>
      <c r="C17" s="229" t="inlineStr">
        <is>
          <t>Built to order</t>
        </is>
      </c>
      <c r="D17" s="229">
        <f>IF(OR('Dirty Soda - Built Drinks'!M14="",'Dirty Soda - Built Drinks'!M14=0),"—",'Dirty Soda - Built Drinks'!M14)</f>
        <v/>
      </c>
    </row>
    <row r="18" ht="15" customHeight="1" s="171">
      <c r="A18" s="192">
        <f>'Dirty Soda - Built Drinks'!A17</f>
        <v/>
      </c>
      <c r="B18" s="229" t="inlineStr">
        <is>
          <t>Built to order</t>
        </is>
      </c>
      <c r="C18" s="229" t="inlineStr">
        <is>
          <t>Built to order</t>
        </is>
      </c>
      <c r="D18" s="229">
        <f>IF(OR('Dirty Soda - Built Drinks'!M17="",'Dirty Soda - Built Drinks'!M17=0),"—",'Dirty Soda - Built Drinks'!M17)</f>
        <v/>
      </c>
    </row>
    <row r="19" ht="15" customHeight="1" s="171">
      <c r="A19" s="192">
        <f>'Dirty Soda - Built Drinks'!A18</f>
        <v/>
      </c>
      <c r="B19" s="229" t="inlineStr">
        <is>
          <t>Built to order</t>
        </is>
      </c>
      <c r="C19" s="229" t="inlineStr">
        <is>
          <t>Built to order</t>
        </is>
      </c>
      <c r="D19" s="229">
        <f>IF(OR('Dirty Soda - Built Drinks'!M18="",'Dirty Soda - Built Drinks'!M18=0),"—",'Dirty Soda - Built Drinks'!M18)</f>
        <v/>
      </c>
    </row>
    <row r="20" ht="15" customHeight="1" s="171">
      <c r="A20" s="192">
        <f>'Dirty Soda - Built Drinks'!A19</f>
        <v/>
      </c>
      <c r="B20" s="229" t="inlineStr">
        <is>
          <t>Built to order</t>
        </is>
      </c>
      <c r="C20" s="229" t="inlineStr">
        <is>
          <t>Built to order</t>
        </is>
      </c>
      <c r="D20" s="229">
        <f>IF(OR('Dirty Soda - Built Drinks'!M19="",'Dirty Soda - Built Drinks'!M19=0),"—",'Dirty Soda - Built Drinks'!M19)</f>
        <v/>
      </c>
    </row>
    <row r="21" ht="15" customHeight="1" s="171">
      <c r="A21" s="192">
        <f>'Dirty Soda - Built Drinks'!A23</f>
        <v/>
      </c>
      <c r="B21" s="229" t="inlineStr">
        <is>
          <t>Built to order</t>
        </is>
      </c>
      <c r="C21" s="229" t="inlineStr">
        <is>
          <t>Salt or Tajin rim, built to order</t>
        </is>
      </c>
      <c r="D21" s="229">
        <f>'Dirty Soda - Built Drinks'!M23&amp;" / Vodka"</f>
        <v/>
      </c>
    </row>
    <row r="22" ht="15" customHeight="1" s="171">
      <c r="A22" s="192">
        <f>'Dirty Soda - Built Drinks'!A22</f>
        <v/>
      </c>
      <c r="B22" s="229" t="inlineStr">
        <is>
          <t>Built to order — tequila always</t>
        </is>
      </c>
      <c r="C22" s="229" t="inlineStr">
        <is>
          <t>Salt rim, built to order. 4 oz margarita mixer + 1.5 oz tequila; lime and agave to taste.</t>
        </is>
      </c>
      <c r="D22" s="229">
        <f>'Dirty Soda - Built Drinks'!M22</f>
        <v/>
      </c>
    </row>
    <row r="23" ht="15" customHeight="1" s="171">
      <c r="A23" s="192">
        <f>'Dirty Soda - Built Drinks'!A21</f>
        <v/>
      </c>
      <c r="B23" s="229" t="inlineStr">
        <is>
          <t>LESS SWEET — tequila always</t>
        </is>
      </c>
      <c r="C23" s="229" t="inlineStr">
        <is>
          <t>Salt rim, built to order. On the LESS SWEET block of the board, not with the built drinks.</t>
        </is>
      </c>
      <c r="D23" s="229">
        <f>'Dirty Soda - Built Drinks'!M21</f>
        <v/>
      </c>
    </row>
    <row r="24" ht="15" customHeight="1" s="171">
      <c r="A24" s="192" t="n"/>
      <c r="B24" s="229" t="n"/>
      <c r="C24" s="229" t="n"/>
      <c r="D24" s="229" t="n"/>
    </row>
    <row r="25" ht="15" customHeight="1" s="171">
      <c r="A25" s="192">
        <f>'Beverage Lines'!A6</f>
        <v/>
      </c>
      <c r="B25" s="229" t="inlineStr">
        <is>
          <t>Cider</t>
        </is>
      </c>
      <c r="C25" s="229" t="inlineStr">
        <is>
          <t>Hand over a cold can</t>
        </is>
      </c>
      <c r="D25" s="229" t="inlineStr">
        <is>
          <t>—</t>
        </is>
      </c>
    </row>
    <row r="26" ht="15" customHeight="1" s="171">
      <c r="A26" s="192">
        <f>'Beverage Lines'!A8</f>
        <v/>
      </c>
      <c r="B26" s="229" t="inlineStr">
        <is>
          <t>Beer — sour ale</t>
        </is>
      </c>
      <c r="C26" s="229" t="inlineStr">
        <is>
          <t>Cold can + grapefruit wheel</t>
        </is>
      </c>
      <c r="D26" s="229" t="inlineStr">
        <is>
          <t>—</t>
        </is>
      </c>
    </row>
    <row r="27" ht="15" customHeight="1" s="171">
      <c r="A27" s="192" t="inlineStr">
        <is>
          <t>Grapefruit Radler</t>
        </is>
      </c>
      <c r="B27" s="229" t="inlineStr">
        <is>
          <t>Shandy — pre-made</t>
        </is>
      </c>
      <c r="C27" s="229" t="inlineStr">
        <is>
          <t>Half pour over ice, optional Tajin rim. Optional splash of paloma mixer.</t>
        </is>
      </c>
      <c r="D27" s="229" t="inlineStr">
        <is>
          <t>—</t>
        </is>
      </c>
    </row>
    <row r="28" ht="15" customHeight="1" s="171">
      <c r="A28" s="192">
        <f>'Beverage Lines'!A10</f>
        <v/>
      </c>
      <c r="B28" s="229" t="inlineStr">
        <is>
          <t>Beer — blonde ale</t>
        </is>
      </c>
      <c r="C28" s="229" t="inlineStr">
        <is>
          <t>Hand over a cold can</t>
        </is>
      </c>
      <c r="D28" s="229" t="inlineStr">
        <is>
          <t>—</t>
        </is>
      </c>
    </row>
    <row r="29" ht="15" customHeight="1" s="171">
      <c r="A29" s="192">
        <f>'Beverage Lines'!A11</f>
        <v/>
      </c>
      <c r="B29" s="229" t="inlineStr">
        <is>
          <t>Beer — Mexican lager</t>
        </is>
      </c>
      <c r="C29" s="229" t="inlineStr">
        <is>
          <t>Hand over a cold can</t>
        </is>
      </c>
      <c r="D29" s="229" t="inlineStr">
        <is>
          <t>—</t>
        </is>
      </c>
    </row>
    <row r="30" ht="15" customHeight="1" s="171">
      <c r="A30" s="192">
        <f>'Beverage Lines'!A9</f>
        <v/>
      </c>
      <c r="B30" s="229" t="inlineStr">
        <is>
          <t>Green tea</t>
        </is>
      </c>
      <c r="C30" s="229" t="inlineStr">
        <is>
          <t>Poured over ice. All week — no longer Saturday-only. Also the base for the Green Tea Refresher (aloe vera drink + tea, optional lychee, mint, cucumber, yuzu, honey, agar boba). TWO SOURCES: bottled Ito En for most of it, plus one gallon cold-steeped from teabags — pour either, they are the same drink. Only the built Sakura Kisses stays a Saturday reveal.</t>
        </is>
      </c>
      <c r="D30" s="229" t="inlineStr">
        <is>
          <t>—</t>
        </is>
      </c>
    </row>
    <row r="31" ht="15" customHeight="1" s="171">
      <c r="A31" s="192" t="inlineStr">
        <is>
          <t>Italian soda</t>
        </is>
      </c>
      <c r="B31" s="229" t="inlineStr">
        <is>
          <t>No-prep</t>
        </is>
      </c>
      <c r="C31" s="229" t="inlineStr">
        <is>
          <t>1 oz syrup + 8 oz soda water + lime, over ice. ASK HOW SWEET: full, half, quarter or none.</t>
        </is>
      </c>
      <c r="D31" s="229" t="inlineStr">
        <is>
          <t>—</t>
        </is>
      </c>
    </row>
    <row r="32" ht="15" customHeight="1" s="171">
      <c r="A32" s="192" t="inlineStr">
        <is>
          <t>Pickle brine shot</t>
        </is>
      </c>
      <c r="B32" s="229" t="inlineStr">
        <is>
          <t>No-prep</t>
        </is>
      </c>
      <c r="C32" s="229" t="inlineStr">
        <is>
          <t>Straight from the jar</t>
        </is>
      </c>
      <c r="D32" s="229" t="inlineStr">
        <is>
          <t>—</t>
        </is>
      </c>
    </row>
    <row r="33" ht="15" customHeight="1" s="171">
      <c r="A33" s="192" t="inlineStr">
        <is>
          <t>Salted soda water + lime</t>
        </is>
      </c>
      <c r="B33" s="229" t="inlineStr">
        <is>
          <t>No-prep</t>
        </is>
      </c>
      <c r="C33" s="229" t="inlineStr">
        <is>
          <t>The hydration one</t>
        </is>
      </c>
      <c r="D33" s="229" t="inlineStr">
        <is>
          <t>—</t>
        </is>
      </c>
    </row>
    <row r="34" ht="15" customHeight="1" s="171">
      <c r="A34" s="192" t="inlineStr">
        <is>
          <t>Tonic + lime</t>
        </is>
      </c>
      <c r="B34" s="229" t="inlineStr">
        <is>
          <t>No-prep</t>
        </is>
      </c>
      <c r="C34" s="229" t="inlineStr">
        <is>
          <t>Bitter, barely sweet</t>
        </is>
      </c>
      <c r="D34" s="229" t="inlineStr">
        <is>
          <t>—</t>
        </is>
      </c>
    </row>
    <row r="35" ht="15" customHeight="1" s="171">
      <c r="A35" s="192" t="inlineStr">
        <is>
          <t>Daily Tea — standing iced tea</t>
        </is>
      </c>
      <c r="B35" s="229" t="inlineStr">
        <is>
          <t>LESS SWEET</t>
        </is>
      </c>
      <c r="C35" s="229" t="inlineStr">
        <is>
          <t>1.5 gal on hand, cold-steeped. Rotates green / jamaica / lapsang — never the same tea as tonight’s jug.</t>
        </is>
      </c>
      <c r="D35" s="229" t="inlineStr">
        <is>
          <t>—</t>
        </is>
      </c>
    </row>
    <row r="36" ht="15" customHeight="1" s="171">
      <c r="A36" s="192" t="inlineStr">
        <is>
          <t>Leaf Node</t>
        </is>
      </c>
      <c r="B36" s="229" t="inlineStr">
        <is>
          <t>LESS SWEET</t>
        </is>
      </c>
      <c r="C36" s="229" t="inlineStr">
        <is>
          <t>Mint, sage or basil muddled into soda water + lime. No sugar.</t>
        </is>
      </c>
      <c r="D36" s="229" t="inlineStr">
        <is>
          <t>—</t>
        </is>
      </c>
    </row>
    <row r="37" ht="15" customHeight="1" s="171">
      <c r="A37" s="192" t="inlineStr">
        <is>
          <t>Bitwise</t>
        </is>
      </c>
      <c r="B37" s="229" t="inlineStr">
        <is>
          <t>LESS SWEET</t>
        </is>
      </c>
      <c r="C37" s="229" t="inlineStr">
        <is>
          <t>3-4 dashes Angostura + soda water + lime.</t>
        </is>
      </c>
      <c r="D37" s="229" t="inlineStr">
        <is>
          <t>—</t>
        </is>
      </c>
    </row>
    <row r="38" ht="15" customHeight="1" s="171">
      <c r="A38" s="192" t="inlineStr">
        <is>
          <t>Spindrift</t>
        </is>
      </c>
      <c r="B38" s="229" t="inlineStr">
        <is>
          <t>LESS SWEET</t>
        </is>
      </c>
      <c r="C38" s="229" t="inlineStr">
        <is>
          <t>Hand over a cold can — moved off the camper menu, it is the obvious answer to "nothing sweet".</t>
        </is>
      </c>
      <c r="D38" s="229" t="inlineStr">
        <is>
          <t>—</t>
        </is>
      </c>
    </row>
    <row r="39" ht="30" customHeight="1" s="171">
      <c r="A39" s="192" t="inlineStr">
        <is>
          <t>Red Bull</t>
        </is>
      </c>
      <c r="B39" s="229" t="inlineStr">
        <is>
          <t>No-prep</t>
        </is>
      </c>
      <c r="C39" s="229" t="inlineStr">
        <is>
          <t>Hand over a cold can</t>
        </is>
      </c>
      <c r="D39" s="229" t="inlineStr">
        <is>
          <t>Vodka</t>
        </is>
      </c>
    </row>
    <row r="40" ht="15" customHeight="1" s="171">
      <c r="A40" s="192" t="inlineStr">
        <is>
          <t>Coconut water</t>
        </is>
      </c>
      <c r="B40" s="229" t="inlineStr">
        <is>
          <t>No-prep</t>
        </is>
      </c>
      <c r="C40" s="229" t="inlineStr">
        <is>
          <t>Hand over a cold one</t>
        </is>
      </c>
      <c r="D40" s="229" t="inlineStr">
        <is>
          <t>Coconut Rum</t>
        </is>
      </c>
    </row>
    <row r="41" ht="15" customHeight="1" s="171">
      <c r="A41" s="303" t="inlineStr">
        <is>
          <t>Kombucha — straight (pour Superberry)</t>
        </is>
      </c>
      <c r="B41" s="303" t="inlineStr">
        <is>
          <t>No-prep</t>
        </is>
      </c>
      <c r="C41" s="303" t="inlineStr">
        <is>
          <t>Pour one over ice. WHILE IT LASTS — roughly 10 servings across the week, out of variety-pack spare, so do not put it on the board as a standing item. Superberry first; Island Mango and Clear Mind are needed for Tang Dynasty and Clear Cache. Splash of Mountain Dew to make it dirty.</t>
        </is>
      </c>
      <c r="D41" s="303" t="inlineStr">
        <is>
          <t>Vodka</t>
        </is>
      </c>
    </row>
    <row r="42" ht="15" customHeight="1" s="171">
      <c r="A42" s="176" t="inlineStr">
        <is>
          <t>2. SATURDAY ONLY — Catboy Café reveal. DO NOT put these on the board before Saturday.</t>
        </is>
      </c>
      <c r="B42" s="229" t="n"/>
      <c r="C42" s="229" t="n"/>
      <c r="D42" s="229" t="n"/>
    </row>
    <row r="43" ht="15" customHeight="1" s="171">
      <c r="A43" s="195" t="inlineStr">
        <is>
          <t>Drink</t>
        </is>
      </c>
    </row>
    <row r="44" ht="15" customHeight="1" s="171">
      <c r="A44" s="304">
        <f>'Dirty Soda - Built Drinks'!A13</f>
        <v/>
      </c>
    </row>
    <row r="45" ht="15" customHeight="1" s="171">
      <c r="A45" s="304">
        <f>'Dirty Soda - Built Drinks'!A15</f>
        <v/>
      </c>
      <c r="B45" s="229" t="inlineStr">
        <is>
          <t>Saturday reveal</t>
        </is>
      </c>
      <c r="C45" s="229" t="inlineStr">
        <is>
          <t>Built to order</t>
        </is>
      </c>
      <c r="D45" s="229">
        <f>IF(OR('Dirty Soda - Built Drinks'!M15="",'Dirty Soda - Built Drinks'!M15=0),"—",'Dirty Soda - Built Drinks'!M15)</f>
        <v/>
      </c>
    </row>
    <row r="46" ht="15" customHeight="1" s="171">
      <c r="A46" s="305">
        <f>'Dirty Soda - Built Drinks'!A16</f>
        <v/>
      </c>
    </row>
    <row r="47" ht="15" customHeight="1" s="171">
      <c r="A47" s="198" t="inlineStr">
        <is>
          <t>PREP WARNING: Saturday stacks these on top of the full standing menu. Prep the aloe, the basil seeds and all hydrated garnishes on FRIDAY NIGHT.</t>
        </is>
      </c>
    </row>
    <row r="48" ht="15" customHeight="1" s="171">
      <c r="A48" s="175" t="n"/>
    </row>
    <row r="49" ht="43.5" customHeight="1" s="171">
      <c r="A49" s="306" t="inlineStr">
        <is>
          <t>3. ONE NIGHT ONLY — the nightly jug special, while it lasts (the last one is a daytime pour)</t>
        </is>
      </c>
      <c r="B49" s="303" t="n"/>
      <c r="C49" s="303" t="n"/>
      <c r="D49" s="303" t="n"/>
    </row>
    <row r="50" ht="15" customHeight="1" s="171">
      <c r="A50" s="195" t="inlineStr">
        <is>
          <t>Night</t>
        </is>
      </c>
      <c r="B50" s="195" t="inlineStr">
        <is>
          <t>Drink</t>
        </is>
      </c>
      <c r="C50" s="300" t="inlineStr">
        <is>
          <t>Servings</t>
        </is>
      </c>
      <c r="D50" s="195" t="inlineStr">
        <is>
          <t>Liquor option</t>
        </is>
      </c>
    </row>
    <row r="51" ht="15" customHeight="1" s="171">
      <c r="A51" s="192">
        <f>'Jug Recipes'!A4</f>
        <v/>
      </c>
      <c r="B51" s="229">
        <f>'Jug Recipes'!C4</f>
        <v/>
      </c>
      <c r="C51" s="258">
        <f>'Jug Recipes'!E4</f>
        <v/>
      </c>
      <c r="D51" s="229">
        <f>IF(OR('Jug Recipes'!P4="",'Jug Recipes'!P4=0),"—",'Jug Recipes'!P4)</f>
        <v/>
      </c>
    </row>
    <row r="52" ht="30" customHeight="1" s="171">
      <c r="A52" s="192">
        <f>'Jug Recipes'!A5</f>
        <v/>
      </c>
      <c r="B52" s="229">
        <f>'Jug Recipes'!C5</f>
        <v/>
      </c>
      <c r="C52" s="258">
        <f>'Jug Recipes'!E5</f>
        <v/>
      </c>
      <c r="D52" s="229">
        <f>IF(OR('Jug Recipes'!P5="",'Jug Recipes'!P5=0),"—",'Jug Recipes'!P5)</f>
        <v/>
      </c>
    </row>
    <row r="53" ht="30" customHeight="1" s="171">
      <c r="A53" s="192">
        <f>'Jug Recipes'!A6</f>
        <v/>
      </c>
      <c r="B53" s="229">
        <f>'Jug Recipes'!C6</f>
        <v/>
      </c>
      <c r="C53" s="258">
        <f>'Jug Recipes'!E6</f>
        <v/>
      </c>
      <c r="D53" s="229">
        <f>IF(OR('Jug Recipes'!P6="",'Jug Recipes'!P6=0),"—",'Jug Recipes'!P6)</f>
        <v/>
      </c>
    </row>
    <row r="54" ht="57.75" customHeight="1" s="171">
      <c r="A54" s="192">
        <f>'Jug Recipes'!A7</f>
        <v/>
      </c>
      <c r="B54" s="229">
        <f>'Jug Recipes'!C7</f>
        <v/>
      </c>
      <c r="C54" s="258">
        <f>'Jug Recipes'!E7</f>
        <v/>
      </c>
      <c r="D54" s="229">
        <f>IF(OR('Jug Recipes'!P7="",'Jug Recipes'!P7=0),"—",'Jug Recipes'!P7)</f>
        <v/>
      </c>
    </row>
    <row r="55" ht="51.75" customHeight="1" s="171">
      <c r="A55" s="192">
        <f>'Jug Recipes'!A8</f>
        <v/>
      </c>
      <c r="B55" s="229">
        <f>'Jug Recipes'!C8</f>
        <v/>
      </c>
      <c r="C55" s="258">
        <f>'Jug Recipes'!E8</f>
        <v/>
      </c>
      <c r="D55" s="229">
        <f>IF(OR('Jug Recipes'!P8="",'Jug Recipes'!P8=0),"—",'Jug Recipes'!P8)</f>
        <v/>
      </c>
    </row>
    <row r="56" ht="27.75" customHeight="1" s="171">
      <c r="A56" s="192">
        <f>'Jug Recipes'!A9</f>
        <v/>
      </c>
      <c r="B56" s="229">
        <f>'Jug Recipes'!C9</f>
        <v/>
      </c>
      <c r="C56" s="258">
        <f>'Jug Recipes'!E9</f>
        <v/>
      </c>
      <c r="D56" s="229">
        <f>IF(OR('Jug Recipes'!P9="",'Jug Recipes'!P9=0),"—",'Jug Recipes'!P9)</f>
        <v/>
      </c>
    </row>
    <row r="57" ht="27.75" customHeight="1" s="171">
      <c r="A57" s="302">
        <f>'Jug Recipes'!A10</f>
        <v/>
      </c>
      <c r="B57" s="229">
        <f>'Jug Recipes'!C10</f>
        <v/>
      </c>
      <c r="C57" s="258">
        <f>'Jug Recipes'!E10</f>
        <v/>
      </c>
      <c r="D57" s="229">
        <f>IF(OR('Jug Recipes'!P10="",'Jug Recipes'!P10=0),"—",'Jug Recipes'!P10)</f>
        <v/>
      </c>
    </row>
    <row r="58" ht="15" customHeight="1" s="171">
      <c r="A58" s="302">
        <f>'Jug Recipes'!A11</f>
        <v/>
      </c>
      <c r="B58" s="229">
        <f>'Jug Recipes'!C11</f>
        <v/>
      </c>
      <c r="C58" s="258">
        <f>'Jug Recipes'!E11</f>
        <v/>
      </c>
      <c r="D58" s="229">
        <f>IF(OR('Jug Recipes'!P11="",'Jug Recipes'!P11=0),"—",'Jug Recipes'!P11)</f>
        <v/>
      </c>
    </row>
    <row r="59" ht="30" customHeight="1" s="171">
      <c r="A59" s="306" t="n"/>
    </row>
    <row r="60" ht="30" customHeight="1" s="171">
      <c r="A60" s="306" t="inlineStr">
        <is>
          <t>4. STANDALONE — its own sign, no day attached</t>
        </is>
      </c>
    </row>
    <row r="61" ht="30" customHeight="1" s="171">
      <c r="A61" s="195" t="inlineStr">
        <is>
          <t>Drink</t>
        </is>
      </c>
    </row>
    <row r="62" ht="30" customHeight="1" s="171">
      <c r="A62" s="302">
        <f>'Jug Recipes'!C12</f>
        <v/>
      </c>
    </row>
    <row r="63" ht="30" customHeight="1" s="171">
      <c r="A63" s="198" t="inlineStr">
        <is>
          <t>TURTLE SOUP IS NOT SCHEDULED. Not a Saturday reveal, not the nightly jug — it gets its own sign that goes up whenever there is enough leftover alcohol to make it worth batching. The 2023 mud-party tradition, revived. FOR THE MENU DESIGNER: a separate standalone sign, not a slot on the standing board. It should read as something that appears, rather than something on offer.</t>
        </is>
      </c>
    </row>
    <row r="64" ht="30" customHeight="1" s="171">
      <c r="A64" s="174" t="n"/>
    </row>
    <row r="65" ht="30" customHeight="1" s="171">
      <c r="A65" s="174" t="inlineStr">
        <is>
          <t>BACKUP JUG: 'Jug Recipes' row 13 holds a spare Salted Limeade that can go out any night if a special runs dry. Not on any menu — it is insurance.</t>
        </is>
      </c>
    </row>
    <row r="66" ht="30" customHeight="1" s="171">
      <c r="A66" s="175" t="n"/>
    </row>
    <row r="67" ht="30" customHeight="1" s="171">
      <c r="A67" s="306" t="inlineStr">
        <is>
          <t>5. RULES THAT NO LONGER EXIST</t>
        </is>
      </c>
    </row>
    <row r="68" ht="15" customHeight="1" s="171">
      <c r="A68" s="174" t="inlineStr">
        <is>
          <t>Two tap lines. Gone. No jockey box, no CO2, no coil. Everything lives in tubs on ice.</t>
        </is>
      </c>
    </row>
    <row r="69" ht="25.5" customHeight="1" s="171">
      <c r="A69" s="174" t="inlineStr">
        <is>
          <t>Cider only Sun-Mon, sour ale Sun-Tue, lager Wed-Thu, blonde ale Fri-Sat. All gone — every one is available all week. That was purely a limit on how many kegs could be live at once, and it does not exist for cans.</t>
        </is>
      </c>
    </row>
    <row r="70" ht="15" customHeight="1" s="171">
      <c r="A70" s="174" t="inlineStr">
        <is>
          <t>Green tea Saturday-only. Gone as a restriction — pourable all week. Only the BUILT Sakura Kisses stays a Saturday reveal.</t>
        </is>
      </c>
    </row>
    <row r="71" ht="15" customHeight="1" s="171">
      <c r="A71" s="174" t="inlineStr">
        <is>
          <t>Straight kombucha. REINSTATED 14 Aug 2026 — this rule is itself now retired. It is on offer again; see section 1, row 41. Pour Superberry: it is the flavour with real slack. Supply is spare capacity (~10 pours all week), so it is not a promise.</t>
        </is>
      </c>
    </row>
    <row r="72" ht="37.5" customHeight="1" s="171">
      <c r="A72" s="174" t="inlineStr">
        <is>
          <t>The sour ale shandy. Dropped — a sour is already acidic, so lemonade muddled it. The shandy slot is pre-made Stiegl Grapefruit Radler instead.</t>
        </is>
      </c>
    </row>
    <row r="73" ht="25.5" customHeight="1" s="171">
      <c r="A73" s="174" t="inlineStr">
        <is>
          <t>Turtle Soup pinned to a day. Gone — standalone sign, section 4.</t>
        </is>
      </c>
    </row>
    <row r="74" ht="25.5" customHeight="1" s="171">
      <c r="A74" s="174" t="inlineStr">
        <is>
          <t>The 40 oz per-unit loss allowance. Zeroed — that was keg foam and line loss.</t>
        </is>
      </c>
    </row>
    <row r="75" ht="15" customHeight="1" s="171">
      <c r="A75" s="174" t="inlineStr">
        <is>
          <t>Keg deposits, empties and the return trip to Mike's. Gone.</t>
        </is>
      </c>
    </row>
    <row r="77">
      <c r="A77" s="170" t="inlineStr">
        <is>
          <t>6. SECRET PARTY — off-menu. Do NOT put on the standing board or the Menu Board.</t>
        </is>
      </c>
    </row>
    <row r="78">
      <c r="A78" s="170" t="inlineStr">
        <is>
          <t>Drink</t>
        </is>
      </c>
      <c r="B78" s="170" t="inlineStr">
        <is>
          <t>Build</t>
        </is>
      </c>
      <c r="C78" s="170" t="inlineStr">
        <is>
          <t>Draws from</t>
        </is>
      </c>
    </row>
    <row r="79">
      <c r="A79" s="170">
        <f>'Dirty Soda - Built Drinks'!A28</f>
        <v/>
      </c>
      <c r="B79" s="170" t="inlineStr">
        <is>
          <t>Neat / rocks, no mixer</t>
        </is>
      </c>
      <c r="C79" s="170" t="inlineStr">
        <is>
          <t>New — Vodka only</t>
        </is>
      </c>
    </row>
    <row r="80">
      <c r="A80" s="170">
        <f>'Dirty Soda - Built Drinks'!A29</f>
        <v/>
      </c>
      <c r="B80" s="170" t="inlineStr">
        <is>
          <t>Vodka + cranberry, over ice</t>
        </is>
      </c>
      <c r="C80" s="170" t="inlineStr">
        <is>
          <t>New — Vodka + Cranberry juice</t>
        </is>
      </c>
    </row>
    <row r="81">
      <c r="A81" s="170">
        <f>'Dirty Soda - Built Drinks'!A30</f>
        <v/>
      </c>
      <c r="B81" s="170" t="inlineStr">
        <is>
          <t>Vodka + OJ, over ice</t>
        </is>
      </c>
      <c r="C81" s="170" t="inlineStr">
        <is>
          <t>New — Vodka + Orange juice</t>
        </is>
      </c>
    </row>
    <row r="82">
      <c r="A82" s="170">
        <f>'Dirty Soda - Built Drinks'!A31</f>
        <v/>
      </c>
      <c r="B82" s="170" t="inlineStr">
        <is>
          <t>Vodka + Red Bull, over ice</t>
        </is>
      </c>
      <c r="C82" s="170" t="inlineStr">
        <is>
          <t>Existing Red Bull stock + a topped-up 24-pack (Bar Add-Ons row 14)</t>
        </is>
      </c>
    </row>
    <row r="83">
      <c r="A83" s="170">
        <f>'Dirty Soda - Built Drinks'!A32</f>
        <v/>
      </c>
      <c r="B83" s="170" t="inlineStr">
        <is>
          <t>Vodka + lemonade, over ice</t>
        </is>
      </c>
      <c r="C83" s="170" t="inlineStr">
        <is>
          <t>Existing lemonade stock + folded into the Kirkland bottle buy (Other Consumables B19)</t>
        </is>
      </c>
    </row>
    <row r="84">
      <c r="A84" s="170">
        <f>'Dirty Soda - Built Drinks'!A33</f>
        <v/>
      </c>
      <c r="B84" s="170" t="inlineStr">
        <is>
          <t>Vodka + soda water + lime, over ice</t>
        </is>
      </c>
      <c r="C84" s="170" t="inlineStr">
        <is>
          <t>Existing soda water stock (assumed sufficient)</t>
        </is>
      </c>
    </row>
    <row r="85">
      <c r="A85" s="170" t="inlineStr">
        <is>
          <t>Camp-mate request, 21 Aug 2026 — a private/secret event, not the Saturday Catboy Café reveal. A separate one-off menu is being built just for this; nothing here belongs on the guest-facing standing board or Menu Board tab.</t>
        </is>
      </c>
    </row>
  </sheetData>
  <mergeCells count="14">
    <mergeCell ref="A70:D70"/>
    <mergeCell ref="A67:D67"/>
    <mergeCell ref="A61:D61"/>
    <mergeCell ref="A77:D77"/>
    <mergeCell ref="A69:D69"/>
    <mergeCell ref="A3:D3"/>
    <mergeCell ref="A64:D64"/>
    <mergeCell ref="A59:D59"/>
    <mergeCell ref="A65:D65"/>
    <mergeCell ref="A43:D43"/>
    <mergeCell ref="A71:D71"/>
    <mergeCell ref="A85:D85"/>
    <mergeCell ref="A68:D68"/>
    <mergeCell ref="A66:D6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25" colorId="64" zoomScale="100" zoomScaleNormal="100" zoomScalePageLayoutView="100" workbookViewId="0">
      <selection pane="topLeft" activeCell="B10" activeCellId="0" sqref="B10"/>
    </sheetView>
  </sheetViews>
  <sheetFormatPr baseColWidth="8" defaultColWidth="8.4296875" defaultRowHeight="15" zeroHeight="0" outlineLevelRow="0"/>
  <cols>
    <col width="34" customWidth="1" style="170" min="1" max="1"/>
    <col width="9" customWidth="1" style="170" min="2" max="2"/>
    <col width="14" customWidth="1" style="170" min="3" max="3"/>
    <col width="11" customWidth="1" style="170" min="4" max="4"/>
    <col width="12" customWidth="1" style="170" min="5" max="5"/>
    <col width="62" customWidth="1" style="170" min="6" max="6"/>
  </cols>
  <sheetData>
    <row r="1" ht="17.25" customHeight="1" s="171">
      <c r="A1" s="172" t="inlineStr">
        <is>
          <t>Bar Add-Ons — no prep, no batching, no recipe</t>
        </is>
      </c>
    </row>
    <row r="3" ht="39.75" customHeight="1" s="171">
      <c r="A3" s="174" t="inlineStr">
        <is>
          <t>Things a bartender can hand over or splash in without stopping to build anything. Yellow cells are editable. SECTION 2 (standalone cans) IS NOW COUNTED as servings on the Totals by Type tab — Red Bull, coconut water and the Radler are real drinks a camper takes from the cooler, and they carry their own cost there. Section 1 stays uncounted: those are mixers that end up inside another drink.</t>
        </is>
      </c>
    </row>
    <row r="5" ht="15" customHeight="1" s="171">
      <c r="A5" s="192" t="inlineStr">
        <is>
          <t>1. MIXERS &amp; MODIFIERS — splash into anything on the menu</t>
        </is>
      </c>
    </row>
    <row r="6" ht="24" customHeight="1" s="171">
      <c r="A6" s="200" t="inlineStr">
        <is>
          <t>Item</t>
        </is>
      </c>
      <c r="B6" s="200" t="inlineStr">
        <is>
          <t>Qty</t>
        </is>
      </c>
      <c r="C6" s="200" t="inlineStr">
        <is>
          <t>Unit</t>
        </is>
      </c>
      <c r="D6" s="200" t="inlineStr">
        <is>
          <t>$ / unit</t>
        </is>
      </c>
      <c r="E6" s="200" t="inlineStr">
        <is>
          <t>Subtotal</t>
        </is>
      </c>
      <c r="F6" s="200" t="inlineStr">
        <is>
          <t>Why it earns the space</t>
        </is>
      </c>
    </row>
    <row r="7" ht="31.5" customHeight="1" s="171">
      <c r="A7" s="201" t="inlineStr">
        <is>
          <t>Tonic water (1 L bottles)</t>
        </is>
      </c>
      <c r="B7" s="307" t="n">
        <v>9</v>
      </c>
      <c r="C7" s="204" t="inlineStr">
        <is>
          <t>1 L bottles</t>
        </is>
      </c>
      <c r="D7" s="308">
        <f>Assumptions!$B$237</f>
        <v/>
      </c>
      <c r="E7" s="205">
        <f>B7*D7</f>
        <v/>
      </c>
      <c r="F7" s="206" t="inlineStr">
        <is>
          <t>The only bitter thing on the bar. Tonic + lime + salt is a genuinely good NA drink, and it rescues anyone who finds the menu too sweet. MOVED TO 1 L 8 Aug 2026 — same ~290 oz as the 24 cans it replaces, at a similar total, but tonic goes into a drink 3-4 oz at a time and a 12 oz can is the wrong unit for that: you either waste two thirds or serve it flat. Price on Assumptions B237 is an ESTIMATE.</t>
        </is>
      </c>
    </row>
    <row r="8" ht="31.5" customHeight="1" s="171">
      <c r="A8" s="201" t="inlineStr">
        <is>
          <t>Soda water — service buffer (1 L bottles)</t>
        </is>
      </c>
      <c r="B8" s="307" t="n">
        <v>17</v>
      </c>
      <c r="C8" s="204" t="inlineStr">
        <is>
          <t>1 L bottles</t>
        </is>
      </c>
      <c r="D8" s="308">
        <f>Assumptions!$B$236</f>
        <v/>
      </c>
      <c r="E8" s="205">
        <f>B8*D8</f>
        <v/>
      </c>
      <c r="F8" s="206">
        <f>"ON TOP of the "&amp;TEXT('Other Consumables'!D20,"0")&amp;" bottles the recipes and jugs already consume (live figure — Other Consumables D20). Lets anyone lengthen a too-sweet drink, and doubles as plain sparkling water — which by day 4 is what half the camp actually wants. Same ~575 oz as the 48 cans it replaces; 1 L is the bar-service format now."</f>
        <v/>
      </c>
    </row>
    <row r="9" ht="31.5" customHeight="1" s="171">
      <c r="A9" s="201" t="inlineStr">
        <is>
          <t>Ginger beer — buffer</t>
        </is>
      </c>
      <c r="B9" s="307" t="n">
        <v>24</v>
      </c>
      <c r="C9" s="204" t="inlineStr">
        <is>
          <t>cans</t>
        </is>
      </c>
      <c r="D9" s="308" t="n">
        <v>1.7</v>
      </c>
      <c r="E9" s="205">
        <f>B9*D9</f>
        <v/>
      </c>
      <c r="F9" s="206" t="inlineStr">
        <is>
          <t>Beyond the cans the Kombucha Mule build eats. Turns any of the six liquors into a mule on request: vodka, whiskey, spiced rum all work. Highest menu-expansion per can on this list. THIS IS THE BAR MIXER BUFFER — the 24 cans of camper stock on Camp Drinks row 20 are a separate buy and should not be poured from here.</t>
        </is>
      </c>
    </row>
    <row r="10" ht="31.5" customHeight="1" s="171">
      <c r="A10" s="201" t="inlineStr">
        <is>
          <t>Angostura bitters (4oz)</t>
        </is>
      </c>
      <c r="B10" s="307" t="n">
        <v>1</v>
      </c>
      <c r="C10" s="204" t="inlineStr">
        <is>
          <t>bottle</t>
        </is>
      </c>
      <c r="D10" s="308" t="n">
        <v>12</v>
      </c>
      <c r="E10" s="205">
        <f>B10*D10</f>
        <v/>
      </c>
      <c r="F10" s="206" t="inlineStr">
        <is>
          <t>Best volume-to-value item here — one tiny bottle. Dashes into soda water + lime for a proper NA aperitif, and a couple of dashes rescues any dirty soda that tastes flat or too sweet. REPRICED: Angostura 4 oz is now $12-15 (Total Wine $14.99, Walmart $9.87), not $9.</t>
        </is>
      </c>
    </row>
    <row r="12" ht="15" customHeight="1" s="171">
      <c r="A12" s="192" t="inlineStr">
        <is>
          <t>2. STANDALONE — hand someone a cold one, zero labor)</t>
        </is>
      </c>
    </row>
    <row r="13" ht="24" customHeight="1" s="171">
      <c r="A13" s="200" t="inlineStr">
        <is>
          <t>Item</t>
        </is>
      </c>
      <c r="B13" s="200" t="inlineStr">
        <is>
          <t>Qty</t>
        </is>
      </c>
      <c r="C13" s="200" t="inlineStr">
        <is>
          <t>Unit</t>
        </is>
      </c>
      <c r="D13" s="200" t="inlineStr">
        <is>
          <t>$ / unit</t>
        </is>
      </c>
      <c r="E13" s="200" t="inlineStr">
        <is>
          <t>Subtotal</t>
        </is>
      </c>
      <c r="F13" s="200" t="inlineStr">
        <is>
          <t>Why it earns the space</t>
        </is>
      </c>
    </row>
    <row r="14" ht="31.5" customHeight="1" s="171">
      <c r="A14" s="201" t="inlineStr">
        <is>
          <t>Red Bull (8.4oz) — 24 YELLOW EDITION + 24 REGULAR</t>
        </is>
      </c>
      <c r="B14" s="307">
        <f>48+Assumptions!$B$305*24</f>
        <v/>
      </c>
      <c r="C14" s="204" t="inlineStr">
        <is>
          <t>cans</t>
        </is>
      </c>
      <c r="D14" s="308" t="n">
        <v>1.55</v>
      </c>
      <c r="E14" s="205">
        <f>B14*D14</f>
        <v/>
      </c>
      <c r="F14" s="207" t="inlineStr">
        <is>
          <t>FLAVOUR SPLIT 14 Aug 2026 — BUY TWO 24-PACKS: ONE YELLOW EDITION, ONE REGULAR. 48 cans is exactly 2 x 24-packs either way, so splitting the flavours costs nothing. The 12 cans that build Catboy Piss (Dirty Soda - Built Drinks row 16, 25 servings x 4 oz) MUST come off the YELLOW EDITION — the drink is named for its colour and the purée is supposed to take it to an alarming gold, which only works on a yellow base. Regular is amber and goes muddy brown; watermelon/Red Edition is pink and kills the joke. That leaves 12 Yellow + 24 Regular = 36 cans to hand out cold, and campers reaching into a cooler want the regular one. IF RENO ONLY HAS ONE: buy YELLOW — the 12 cans the drink needs are the binding constraint, and regular tops up anywhere. Costco 24 x 8.4 oz runs $28.99-38.99, so $1.40/can. TOPPED UP 21 Aug 2026 for the Secret Party's Vodka Red Bull (39 servings x 4oz, Assumptions B302) — adds one more 24-pack of Regular on top of the base 48 (Assumptions B305), so the yellow/regular math above still holds: 24 Yellow (12 Catboy Piss + 12 handout) + 24+24 Regular (24 handout + a fresh 24-pack for the party).</t>
        </is>
      </c>
    </row>
    <row r="15" ht="31.5" customHeight="1" s="171">
      <c r="A15" s="244" t="inlineStr">
        <is>
          <t>Stiegl Grapefruit Radler (4 x 16.9oz)</t>
        </is>
      </c>
      <c r="B15" s="307">
        <f>CEILING(Assumptions!$B$169/Assumptions!$B$171/4,1)</f>
        <v/>
      </c>
      <c r="C15" s="204" t="inlineStr">
        <is>
          <t>4-packs</t>
        </is>
      </c>
      <c r="D15" s="308">
        <f>Assumptions!$B$172</f>
        <v/>
      </c>
      <c r="E15" s="205">
        <f>B15*D15</f>
        <v/>
      </c>
      <c r="F15" s="207" t="inlineStr">
        <is>
          <t>THE SHANDY SLOT, PRE-MADE. Austrian radler, real grapefruit juice, 2% ABV. Served as a HALF POUR (Assumptions B171) — ~8.4 oz over ice, optional Tajin or salt rim. NO GARNISH as of 10 Aug 2026: the grapefruit wedge was dropped and the wedges came off Purchase List row 30, leaving that line as sour ale wheels only. OPTIONAL: A SPLASH OF PALOMA MIXER turns it into a lazy grapefruit shandy-paloma — the mixer is already grapefruit, lime and agave, so it deepens what the beer is doing rather than adding a new flavour. DELIBERATELY NOT SIZED OR COSTED ANYWHERE. It comes out of the Guavascript bottles on Purchase List row 68, which carry about 15 oz over the buffered requirement — roughly 30 splashes at 0.5 oz, but that headroom IS the buffer, so it is a bartender's option on a quiet night, not a planned serving. If it catches on, add a bottle there rather than letting it eat Guavascript's margin.</t>
        </is>
      </c>
    </row>
    <row r="16" ht="31.5" customHeight="1" s="171">
      <c r="A16" s="201" t="inlineStr">
        <is>
          <t>Coconut water</t>
        </is>
      </c>
      <c r="B16" s="307" t="n">
        <v>36</v>
      </c>
      <c r="C16" s="204" t="inlineStr">
        <is>
          <t>cans</t>
        </is>
      </c>
      <c r="D16" s="308" t="n">
        <v>1.25</v>
      </c>
      <c r="E16" s="205">
        <f>B16*D16</f>
        <v/>
      </c>
      <c r="F16" s="207" t="inlineStr">
        <is>
          <t>TRIPLED to 36 — the best hangover item on the list and it needs no bartender at all. Vita Coco 18 x 11.1 oz at Costco is $14.19-23.99, so $1.10/carton. Drinkable straight, and a good mixer with the coconut rum.</t>
        </is>
      </c>
    </row>
    <row r="18" ht="15" customHeight="1" s="171">
      <c r="A18" s="208" t="inlineStr">
        <is>
          <t>TOTAL — BAR ADD-ONS</t>
        </is>
      </c>
      <c r="B18" s="208" t="n"/>
      <c r="C18" s="208" t="n"/>
      <c r="D18" s="208" t="n"/>
      <c r="E18" s="212">
        <f>SUM(E7:E10)+SUM(E14:E16)</f>
        <v/>
      </c>
      <c r="F18" s="208" t="n"/>
    </row>
    <row r="20" ht="15" customHeight="1" s="171">
      <c r="A20" s="192" t="inlineStr">
        <is>
          <t>3. MENU EXTENSIONS — built from stock we already buy</t>
        </is>
      </c>
    </row>
    <row r="21" ht="24" customHeight="1" s="171">
      <c r="A21" s="200" t="inlineStr">
        <is>
          <t>Item</t>
        </is>
      </c>
      <c r="B21" s="200" t="inlineStr">
        <is>
          <t>Qty</t>
        </is>
      </c>
      <c r="C21" s="200" t="inlineStr">
        <is>
          <t>Unit</t>
        </is>
      </c>
      <c r="D21" s="200" t="inlineStr">
        <is>
          <t>$ / unit</t>
        </is>
      </c>
      <c r="E21" s="200" t="inlineStr">
        <is>
          <t>Subtotal</t>
        </is>
      </c>
      <c r="F21" s="200" t="inlineStr">
        <is>
          <t>Why it earns the space</t>
        </is>
      </c>
    </row>
    <row r="22" ht="39.75" customHeight="1" s="171">
      <c r="A22" s="309" t="inlineStr">
        <is>
          <t>Italian sodas — STANDING MENU ITEM (now costed, not free)</t>
        </is>
      </c>
      <c r="B22" s="310">
        <f>Assumptions!$B$160</f>
        <v/>
      </c>
      <c r="C22" s="311" t="inlineStr">
        <is>
          <t>servings</t>
        </is>
      </c>
      <c r="D22" s="312" t="n">
        <v>0</v>
      </c>
      <c r="E22" s="312" t="n">
        <v>0</v>
      </c>
      <c r="F22" s="313" t="inlineStr">
        <is>
          <t>NOW A REAL LINE. Build: 1 oz of any Torani + 8 oz soda water over ice + a lime squeeze. Sized at Assumptions B160. *** ALWAYS ASK HOW SWEET THEY WANT IT — full, half, quarter or none. *** That one question turns this into the most flexible drink on the board and the easiest answer to 'have you got anything not too sweet', which is why it now appears in the LESS SWEET block as well. A no-syrup Italian soda is just soda water and lime, and that is a legitimate order. Cost is $0 HERE only to avoid double-counting — the soda water is in the Purchase List soda-water line and the syrup is in the Torani line. Seven flavours already in stock: vanilla, cherry, peach, watermelon, melon, lemon, pineapple.</t>
        </is>
      </c>
    </row>
    <row r="23" ht="39.75" customHeight="1" s="171">
      <c r="A23" s="309" t="inlineStr">
        <is>
          <t>Pickle brine shots — ON THE MENU BOARD</t>
        </is>
      </c>
      <c r="B23" s="310">
        <f>Assumptions!$B$209</f>
        <v/>
      </c>
      <c r="C23" s="311" t="inlineStr">
        <is>
          <t>shots</t>
        </is>
      </c>
      <c r="D23" s="312" t="n">
        <v>0</v>
      </c>
      <c r="E23" s="312" t="n">
        <v>0</v>
      </c>
      <c r="F23" s="314" t="inlineStr">
        <is>
          <t>ON THE MENU BOARD. It is NOT free, which is what this line used to claim — the brine is finite and the shots drink the same jars as A Ginger's Pickle. Now sized: Assumptions B209 sets the shot count and the jars land on Purchase List row 82 via 'Other Consumables' row 50. $0 HERE only to avoid double-counting, same as the Italian sodas above.</t>
        </is>
      </c>
    </row>
    <row r="24" ht="39.75" customHeight="1" s="171">
      <c r="A24" s="309" t="inlineStr">
        <is>
          <t>Salted soda water + lime</t>
        </is>
      </c>
      <c r="B24" s="310" t="n">
        <v>0</v>
      </c>
      <c r="C24" s="311" t="inlineStr">
        <is>
          <t>—</t>
        </is>
      </c>
      <c r="D24" s="312" t="n">
        <v>0</v>
      </c>
      <c r="E24" s="312" t="n">
        <v>0</v>
      </c>
      <c r="F24" s="314" t="inlineStr">
        <is>
          <t>Three things already on the bar. The simplest hydration drink there is, and the one to push on anyone who looks overheated.</t>
        </is>
      </c>
    </row>
    <row r="25" ht="124.5" customHeight="1" s="171">
      <c r="A25" s="309" t="inlineStr">
        <is>
          <t>Daily Tea — the standing iced tea (LESS SWEET)</t>
        </is>
      </c>
      <c r="B25" s="310">
        <f>Assumptions!$B$253*Assumptions!$B$254*128/8</f>
        <v/>
      </c>
      <c r="C25" s="311" t="inlineStr">
        <is>
          <t>servings</t>
        </is>
      </c>
      <c r="D25" s="312" t="n">
        <v>0</v>
      </c>
      <c r="E25" s="312" t="n">
        <v>0</v>
      </c>
      <c r="F25" s="314" t="inlineStr">
        <is>
          <t>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 COST IS $0 HERE AND EVERYWHERE — it runs entirely on slack already bought: spare bags in the camp green tea box, spare flower in the hibiscus bag, spare leaf in the lapsang bag. See Assumptions B255 for the arithmetic. Nothing to buy, but DO NOT reallocate those three lines to something else without checking here first.</t>
        </is>
      </c>
    </row>
    <row r="26" ht="27.75" customHeight="1" s="171">
      <c r="A26" s="309" t="inlineStr">
        <is>
          <t>Leaf Node — herb soda (LESS SWEET)</t>
        </is>
      </c>
    </row>
    <row r="27" ht="50.25" customHeight="1" s="171">
      <c r="A27" s="309" t="inlineStr">
        <is>
          <t>Bitwise — soda water + bitters (LESS SWEET)</t>
        </is>
      </c>
      <c r="B27" s="310" t="n">
        <v>0</v>
      </c>
      <c r="C27" s="311" t="inlineStr">
        <is>
          <t>—</t>
        </is>
      </c>
      <c r="D27" s="312" t="n">
        <v>0</v>
      </c>
      <c r="E27" s="312" t="n">
        <v>0</v>
      </c>
      <c r="F27" s="314" t="inlineStr">
        <is>
          <t>Three or four dashes of Angostura into soda water with lime. Negligible sugar and the most adult-tasting thing on the bar. THE BITTERS BOTTLE IS ALREADY BOUGHT (row 10) and this is exactly the use the note there describes. Costed at $0 for the same reason as the others. If someone finds the whole board too sweet, this is the one to put in their hand.</t>
        </is>
      </c>
    </row>
    <row r="28" ht="75" customHeight="1" s="171">
      <c r="A28" s="309" t="inlineStr">
        <is>
          <t>Mountain Dew splash — "make it dirty"</t>
        </is>
      </c>
      <c r="B28" s="310" t="n">
        <v>0</v>
      </c>
      <c r="C28" s="311" t="inlineStr">
        <is>
          <t>—</t>
        </is>
      </c>
      <c r="D28" s="312" t="n">
        <v>0</v>
      </c>
      <c r="E28" s="312" t="n">
        <v>0</v>
      </c>
      <c r="F28" s="314" t="inlineStr">
        <is>
          <t>REPLACED SCOBY-DEW AS A NAMED DRINK, 11 Aug 2026. A splash of Mountain Dew into any of the three kombucha builds — Tang Dynasty, SCOBY Mule, Clear Cache. Ask if they want it dirty; it is an offer, not a default. $0 HERE because it pours from the camper Mountain Dew on Purchase List row 45, which is the only Dew on the truck now that the base-soda line has zeroed out. WATCH THIS ONE: if it gets popular it is drinking camp stock, and the fix is a bar line of its own rather than a bigger camp number.</t>
        </is>
      </c>
    </row>
    <row r="29" ht="15" customHeight="1" s="171">
      <c r="A29" s="199" t="inlineStr">
        <is>
          <t>Worth giving these real space on the menu board — they cost nothing, need no prep, and they are the answers to 'do you have anything not sweet?', which is the question the bar will get most often by Wednesday. Six of them run off stock already bought: the Italian soda, the brine shot, salted soda water, the Daily Tea, Leaf Node and Bitwise — plus the Mountain Dew splash, which is a modifier rather than a drink.</t>
        </is>
      </c>
    </row>
  </sheetData>
  <mergeCells count="3">
    <mergeCell ref="A3:F3"/>
    <mergeCell ref="A1:F1"/>
    <mergeCell ref="A29:F29"/>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F72"/>
  <sheetViews>
    <sheetView showFormulas="0" showGridLines="0" showRowColHeaders="1" showZeros="1" rightToLeft="0" tabSelected="0" showOutlineSymbols="1" defaultGridColor="1" view="normal" topLeftCell="F1" colorId="64" zoomScale="100" zoomScaleNormal="100" zoomScalePageLayoutView="100" workbookViewId="0">
      <selection pane="topLeft" activeCell="A33" activeCellId="0" sqref="A33"/>
    </sheetView>
  </sheetViews>
  <sheetFormatPr baseColWidth="8" defaultColWidth="8.4296875" defaultRowHeight="15" zeroHeight="0" outlineLevelRow="0"/>
  <cols>
    <col width="34" customWidth="1" style="170" min="1" max="1"/>
    <col width="48" customWidth="1" style="170" min="2" max="2"/>
    <col width="18" customWidth="1" style="170" min="3" max="3"/>
  </cols>
  <sheetData>
    <row r="1" ht="17.25" customHeight="1" s="171">
      <c r="A1" s="172" t="inlineStr">
        <is>
          <t>Menu Board — what goes on the signage</t>
        </is>
      </c>
    </row>
    <row r="3" ht="15" customHeight="1" s="171">
      <c r="A3" s="174" t="inlineStr">
        <is>
          <t>Drink names pull live from the Recipes and Daily Schedule tabs, so renames flow through here. COLUMN B IS GUEST-FACING ONLY — plain ingredient lists, no measurements, no method, no garnish detail. Everything a bartender needs (fluid oz, garnish specifics, rims, prep order) lives on the Recipes tab and stays there. Availability rules are on 'Service Availability'. Yellow = do not reveal until Saturday.</t>
        </is>
      </c>
    </row>
    <row r="5" ht="15" customHeight="1" s="171">
      <c r="A5" s="192" t="inlineStr">
        <is>
          <t>ALL WEEK — DIRTY SODAS (built to order)</t>
        </is>
      </c>
    </row>
    <row r="6" ht="15" customHeight="1" s="171">
      <c r="A6" s="200" t="inlineStr">
        <is>
          <t>Drink</t>
        </is>
      </c>
      <c r="B6" s="200" t="inlineStr">
        <is>
          <t>What's in it</t>
        </is>
      </c>
      <c r="C6" s="200" t="inlineStr">
        <is>
          <t>Liquor option</t>
        </is>
      </c>
    </row>
    <row r="7" ht="25.5" customHeight="1" s="171">
      <c r="A7" s="315">
        <f>'Dirty Soda - Built Drinks'!A5</f>
        <v/>
      </c>
      <c r="B7" s="315" t="inlineStr">
        <is>
          <t>Coke + Vanilla + Cherry</t>
        </is>
      </c>
      <c r="C7" s="206">
        <f>'Dirty Soda - Built Drinks'!M5</f>
        <v/>
      </c>
    </row>
    <row r="8" ht="25.5" customHeight="1" s="171">
      <c r="A8" s="315">
        <f>'Dirty Soda - Built Drinks'!A6</f>
        <v/>
      </c>
      <c r="B8" s="315" t="inlineStr">
        <is>
          <t>Orange Fanta + Coconut Cream</t>
        </is>
      </c>
      <c r="C8" s="206">
        <f>'Dirty Soda - Built Drinks'!M6</f>
        <v/>
      </c>
    </row>
    <row r="9" ht="25.5" customHeight="1" s="171">
      <c r="A9" s="315">
        <f>'Dirty Soda - Built Drinks'!A8</f>
        <v/>
      </c>
      <c r="B9" s="315" t="inlineStr">
        <is>
          <t>Ginger Ale + Pickle + Tajín</t>
        </is>
      </c>
      <c r="C9" s="206">
        <f>'Dirty Soda - Built Drinks'!M8</f>
        <v/>
      </c>
    </row>
    <row r="10" ht="25.5" customHeight="1" s="171">
      <c r="A10" s="315">
        <f>'Dirty Soda - Built Drinks'!A9</f>
        <v/>
      </c>
      <c r="B10" s="315" t="inlineStr">
        <is>
          <t>Dr Pepper + Vanilla + Coconut Cream</t>
        </is>
      </c>
      <c r="C10" s="206">
        <f>'Dirty Soda - Built Drinks'!M9</f>
        <v/>
      </c>
    </row>
    <row r="11" ht="25.5" customHeight="1" s="171">
      <c r="A11" s="315">
        <f>'Dirty Soda - Built Drinks'!A10</f>
        <v/>
      </c>
      <c r="B11" s="315" t="inlineStr">
        <is>
          <t>Dr Pepper + Peach + Vanilla + Coconut Cream</t>
        </is>
      </c>
      <c r="C11" s="206">
        <f>'Dirty Soda - Built Drinks'!M10</f>
        <v/>
      </c>
    </row>
    <row r="12" ht="25.5" customHeight="1" s="171">
      <c r="A12" s="315">
        <f>'Dirty Soda - Built Drinks'!A12</f>
        <v/>
      </c>
      <c r="B12" s="315" t="inlineStr">
        <is>
          <t>Squirt + Peach + Lime</t>
        </is>
      </c>
      <c r="C12" s="206">
        <f>'Dirty Soda - Built Drinks'!M12</f>
        <v/>
      </c>
    </row>
    <row r="13" ht="25.5" customHeight="1" s="171">
      <c r="A13" s="315">
        <f>'Dirty Soda - Built Drinks'!A19</f>
        <v/>
      </c>
      <c r="B13" s="315" t="inlineStr">
        <is>
          <t>Root Beer + Vanilla + Coconut Cream</t>
        </is>
      </c>
      <c r="C13" s="206">
        <f>IF(OR('Dirty Soda - Built Drinks'!M19="",'Dirty Soda - Built Drinks'!M19=0),"—",'Dirty Soda - Built Drinks'!M19)</f>
        <v/>
      </c>
    </row>
    <row r="14" ht="25.5" customHeight="1" s="171">
      <c r="A14" s="315">
        <f>'Dirty Soda - Built Drinks'!A17</f>
        <v/>
      </c>
      <c r="B14" s="315" t="inlineStr">
        <is>
          <t>Sprite + Cherry + Lime + Tajín</t>
        </is>
      </c>
      <c r="C14" s="206">
        <f>'Dirty Soda - Built Drinks'!M17</f>
        <v/>
      </c>
    </row>
    <row r="15" ht="25.5" customHeight="1" s="171">
      <c r="A15" s="315">
        <f>'Dirty Soda - Built Drinks'!A18</f>
        <v/>
      </c>
      <c r="B15" s="315" t="inlineStr">
        <is>
          <t>Sprite + Ginger Beer + Cherry</t>
        </is>
      </c>
      <c r="C15" s="206">
        <f>'Dirty Soda - Built Drinks'!M18</f>
        <v/>
      </c>
    </row>
    <row r="16" ht="25.5" customHeight="1" s="171">
      <c r="A16" s="315">
        <f>'Dirty Soda - Built Drinks'!A7</f>
        <v/>
      </c>
      <c r="B16" s="315" t="inlineStr">
        <is>
          <t>Lemonade + Watermelon + Mint</t>
        </is>
      </c>
      <c r="C16" s="206">
        <f>'Dirty Soda - Built Drinks'!M7</f>
        <v/>
      </c>
    </row>
    <row r="17" ht="25.5" customHeight="1" s="171">
      <c r="A17" s="315">
        <f>'Dirty Soda - Built Drinks'!A3</f>
        <v/>
      </c>
      <c r="B17" s="315" t="inlineStr">
        <is>
          <t>Island Mango Kombucha + Tangerine + Passion Fruit</t>
        </is>
      </c>
      <c r="C17" s="206">
        <f>'Dirty Soda - Built Drinks'!M3</f>
        <v/>
      </c>
    </row>
    <row r="18" ht="25.5" customHeight="1" s="171">
      <c r="A18" s="315">
        <f>'Dirty Soda - Built Drinks'!A11</f>
        <v/>
      </c>
      <c r="B18" s="315" t="inlineStr">
        <is>
          <t>Superberry Kombucha + Yuzu + Ginger Beer</t>
        </is>
      </c>
      <c r="C18" s="206">
        <f>'Dirty Soda - Built Drinks'!M11</f>
        <v/>
      </c>
      <c r="D18" s="192" t="inlineStr">
        <is>
          <t>Bartender instructions: ASK IF THEY WANT IT DIRTY — a splash of Mountain Dew goes in this kombucha build.</t>
        </is>
      </c>
      <c r="E18" s="229" t="n"/>
      <c r="F18" s="170" t="n"/>
    </row>
    <row r="19" ht="25.5" customHeight="1" s="171">
      <c r="A19" s="315">
        <f>'Dirty Soda - Built Drinks'!A14</f>
        <v/>
      </c>
      <c r="B19" s="315" t="inlineStr">
        <is>
          <t>Clear Mind Kombucha + Peach + Yuzu + Sage</t>
        </is>
      </c>
      <c r="C19" s="206">
        <f>'Dirty Soda - Built Drinks'!M14</f>
        <v/>
      </c>
    </row>
    <row r="20" ht="15" customHeight="1" s="171">
      <c r="A20" s="239">
        <f>'Dirty Soda - Built Drinks'!A23</f>
        <v/>
      </c>
      <c r="B20" s="316" t="inlineStr">
        <is>
          <t>Grapefruit + Guava + Soda Water</t>
        </is>
      </c>
      <c r="C20" s="317">
        <f>'Dirty Soda - Built Drinks'!M23&amp;" / Vodka"</f>
        <v/>
      </c>
      <c r="D20" s="170" t="inlineStr">
        <is>
          <t>Bartender instructions: optional splash of watermelon juice or extra lime on request — no separate stock, already on the truck for other drinks.</t>
        </is>
      </c>
    </row>
    <row r="21" ht="15" customHeight="1" s="171">
      <c r="A21" s="239">
        <f>'Dirty Soda - Built Drinks'!A22</f>
        <v/>
      </c>
      <c r="B21" s="201" t="inlineStr">
        <is>
          <t>Margarita Mix + Lime + Agave + Tequila</t>
        </is>
      </c>
      <c r="C21" s="317">
        <f>'Dirty Soda - Built Drinks'!M22&amp;" — IN THE BUILD, not optional"</f>
        <v/>
      </c>
    </row>
    <row r="22" ht="15" customHeight="1" s="171">
      <c r="A22" s="170">
        <f>'Dirty Soda - Built Drinks'!A20</f>
        <v/>
      </c>
      <c r="B22" s="170" t="inlineStr">
        <is>
          <t>Grapefruit + Lime + Soda Water</t>
        </is>
      </c>
      <c r="C22" s="170">
        <f>'Dirty Soda - Built Drinks'!M20&amp;" / Vodka"</f>
        <v/>
      </c>
      <c r="D22" s="170" t="inlineStr">
        <is>
          <t>Bartender instructions: ASK IF THEY WANT IT SPICY — 2-3 drops of Fee Brothers Habanero Bitters on request. Optional splash of watermelon juice or extra lime too — no separate stock, already on the truck for other drinks.</t>
        </is>
      </c>
    </row>
    <row r="23" ht="25.5" customHeight="1" s="171">
      <c r="A23" s="192" t="inlineStr">
        <is>
          <t>LESS SWEET</t>
        </is>
      </c>
    </row>
    <row r="24" ht="25.5" customHeight="1" s="171">
      <c r="A24" s="200" t="inlineStr">
        <is>
          <t>Drink</t>
        </is>
      </c>
      <c r="B24" s="200" t="inlineStr">
        <is>
          <t>What's in it</t>
        </is>
      </c>
      <c r="C24" s="200" t="inlineStr">
        <is>
          <t>Liquor option</t>
        </is>
      </c>
    </row>
    <row r="25" ht="15" customHeight="1" s="171">
      <c r="A25" s="318" t="inlineStr">
        <is>
          <t>Iced Tea</t>
        </is>
      </c>
      <c r="B25" s="319" t="inlineStr">
        <is>
          <t>Rotating iced tea</t>
        </is>
      </c>
      <c r="C25" s="314" t="n"/>
    </row>
    <row r="26" ht="15" customHeight="1" s="171">
      <c r="A26" s="318" t="inlineStr">
        <is>
          <t>Herb Soda</t>
        </is>
      </c>
      <c r="B26" s="320" t="inlineStr">
        <is>
          <t>Mint, Sage or Basil + Soda Water + Lime</t>
        </is>
      </c>
      <c r="C26" s="314" t="n"/>
    </row>
    <row r="27" ht="15" customHeight="1" s="171">
      <c r="A27" s="318" t="inlineStr">
        <is>
          <t>Soda &amp; Bitters</t>
        </is>
      </c>
      <c r="B27" s="320" t="inlineStr">
        <is>
          <t>Soda Water + Bitters + Lime</t>
        </is>
      </c>
      <c r="C27" s="314" t="n"/>
    </row>
    <row r="28" ht="15" customHeight="1" s="171">
      <c r="A28" s="318" t="inlineStr">
        <is>
          <t>Lime Tonic</t>
        </is>
      </c>
      <c r="B28" s="320" t="inlineStr">
        <is>
          <t>Tonic + Lime</t>
        </is>
      </c>
      <c r="C28" s="314" t="n"/>
    </row>
    <row r="29" ht="25.5" customHeight="1" s="171">
      <c r="A29" s="318" t="inlineStr">
        <is>
          <t>Italian soda</t>
        </is>
      </c>
      <c r="B29" s="320" t="inlineStr">
        <is>
          <t>Syrup + Soda Water + Lime — say full, half, quarter or none</t>
        </is>
      </c>
      <c r="C29" s="314" t="n"/>
    </row>
    <row r="30" ht="25.5" customHeight="1" s="171">
      <c r="A30" s="318" t="inlineStr">
        <is>
          <t>Pickle brine shot</t>
        </is>
      </c>
      <c r="B30" s="320" t="inlineStr">
        <is>
          <t>Pickle Brine</t>
        </is>
      </c>
      <c r="C30" s="314" t="n"/>
    </row>
    <row r="31" ht="25.5" customHeight="1" s="171">
      <c r="A31" s="318" t="inlineStr">
        <is>
          <t>Spindrift</t>
        </is>
      </c>
      <c r="B31" s="320" t="inlineStr">
        <is>
          <t>Sparkling Water</t>
        </is>
      </c>
      <c r="C31" s="314" t="n"/>
    </row>
    <row r="32" ht="25.5" customHeight="1" s="171">
      <c r="A32" s="321" t="inlineStr">
        <is>
          <t>Ranch Water</t>
        </is>
      </c>
      <c r="B32" s="317" t="inlineStr">
        <is>
          <t>Tequila + Lime + Soda Water + Salt</t>
        </is>
      </c>
      <c r="C32" s="317" t="inlineStr">
        <is>
          <t>Blanco Tequila</t>
        </is>
      </c>
    </row>
    <row r="33" ht="25.5" customHeight="1" s="171">
      <c r="A33" s="315" t="inlineStr">
        <is>
          <t>Michelada</t>
        </is>
      </c>
      <c r="B33" s="322" t="inlineStr">
        <is>
          <t>Lager + Bloody Mary Mix + Lime</t>
        </is>
      </c>
      <c r="C33" s="206" t="inlineStr">
        <is>
          <t>LAGER – In the build, not optional</t>
        </is>
      </c>
    </row>
    <row r="34" ht="15" customHeight="1" s="171"/>
    <row r="35" ht="15" customHeight="1" s="171">
      <c r="A35" s="192" t="inlineStr">
        <is>
          <t>COLD FROM THE COOLER</t>
        </is>
      </c>
    </row>
    <row r="36" ht="15" customHeight="1" s="171">
      <c r="A36" s="200" t="inlineStr">
        <is>
          <t>Drink</t>
        </is>
      </c>
      <c r="B36" s="200" t="inlineStr">
        <is>
          <t>What's in it</t>
        </is>
      </c>
      <c r="C36" s="200" t="inlineStr">
        <is>
          <t>Liquor option</t>
        </is>
      </c>
    </row>
    <row r="37" ht="25.5" customHeight="1" s="171">
      <c r="A37" s="323">
        <f>'Beverage Lines'!A6</f>
        <v/>
      </c>
      <c r="B37" s="315" t="inlineStr">
        <is>
          <t>Cider</t>
        </is>
      </c>
      <c r="C37" s="315" t="inlineStr">
        <is>
          <t>—</t>
        </is>
      </c>
    </row>
    <row r="38" ht="25.5" customHeight="1" s="171">
      <c r="A38" s="323">
        <f>'Beverage Lines'!A8</f>
        <v/>
      </c>
      <c r="B38" s="316" t="inlineStr">
        <is>
          <t>Sour Ale + Ancho + Grapefruit</t>
        </is>
      </c>
      <c r="C38" s="315" t="inlineStr">
        <is>
          <t>—</t>
        </is>
      </c>
    </row>
    <row r="39" ht="25.5" customHeight="1" s="171">
      <c r="A39" s="323" t="inlineStr">
        <is>
          <t>Grapefruit Radler</t>
        </is>
      </c>
      <c r="B39" s="315" t="inlineStr">
        <is>
          <t>Beer + Grapefruit</t>
        </is>
      </c>
      <c r="C39" s="315" t="inlineStr">
        <is>
          <t>—</t>
        </is>
      </c>
    </row>
    <row r="40" ht="25.5" customHeight="1" s="171">
      <c r="A40" s="323">
        <f>'Beverage Lines'!A10</f>
        <v/>
      </c>
      <c r="B40" s="315" t="inlineStr">
        <is>
          <t>Blonde Ale</t>
        </is>
      </c>
      <c r="C40" s="315" t="inlineStr">
        <is>
          <t>—</t>
        </is>
      </c>
    </row>
    <row r="41" ht="25.5" customHeight="1" s="171">
      <c r="A41" s="323">
        <f>'Beverage Lines'!A11</f>
        <v/>
      </c>
      <c r="B41" s="315" t="inlineStr">
        <is>
          <t>Lager</t>
        </is>
      </c>
      <c r="C41" s="315" t="inlineStr">
        <is>
          <t>—</t>
        </is>
      </c>
    </row>
    <row r="42" ht="15" customHeight="1" s="171"/>
    <row r="43" ht="15" customHeight="1" s="171">
      <c r="A43" s="192" t="inlineStr">
        <is>
          <t>SATURDAY ONLY — Catboy Café reveal</t>
        </is>
      </c>
    </row>
    <row r="44" ht="25.5" customHeight="1" s="171">
      <c r="A44" s="200" t="inlineStr">
        <is>
          <t>Drink</t>
        </is>
      </c>
      <c r="B44" s="324" t="n"/>
      <c r="C44" s="325" t="n"/>
    </row>
    <row r="45" ht="25.5" customHeight="1" s="171">
      <c r="A45" s="326">
        <f>'Dirty Soda - Built Drinks'!A16</f>
        <v/>
      </c>
      <c r="B45" s="326" t="inlineStr">
        <is>
          <t>Red Bull Yellow Edition + Passion Fruit + Lime + Tajín</t>
        </is>
      </c>
      <c r="C45" s="327">
        <f>'Dirty Soda - Built Drinks'!M16</f>
        <v/>
      </c>
    </row>
    <row r="46" ht="15" customHeight="1" s="171">
      <c r="A46" s="326">
        <f>'Dirty Soda - Built Drinks'!A15</f>
        <v/>
      </c>
      <c r="B46" s="326" t="inlineStr">
        <is>
          <t>Squirt + Aloe + Melon + Lime</t>
        </is>
      </c>
      <c r="C46" s="327">
        <f>'Dirty Soda - Built Drinks'!M15</f>
        <v/>
      </c>
    </row>
    <row r="47" ht="15" customHeight="1" s="171">
      <c r="A47" s="326">
        <f>'Dirty Soda - Built Drinks'!A13</f>
        <v/>
      </c>
      <c r="B47" s="326" t="inlineStr">
        <is>
          <t>Green Tea + Orange + Sakura</t>
        </is>
      </c>
      <c r="C47" s="327">
        <f>IF('Dirty Soda - Built Drinks'!M13="","",'Dirty Soda - Built Drinks'!M13)</f>
        <v/>
      </c>
    </row>
    <row r="48" ht="15" customHeight="1" s="171">
      <c r="A48" s="326" t="inlineStr">
        <is>
          <t>Iced Peach Tea</t>
        </is>
      </c>
      <c r="B48" s="326" t="inlineStr">
        <is>
          <t>Green tea + peach</t>
        </is>
      </c>
      <c r="C48" s="326" t="n"/>
    </row>
    <row r="49" ht="15" customHeight="1" s="171"/>
    <row r="50" ht="15" customHeight="1" s="171">
      <c r="A50" s="174" t="n"/>
    </row>
    <row r="51" ht="15" customHeight="1" s="171"/>
    <row r="52" ht="25.5" customHeight="1" s="171">
      <c r="A52" s="175" t="inlineStr">
        <is>
          <t>STANDALONE SIGN — goes up on its own, no day attached</t>
        </is>
      </c>
    </row>
    <row r="53" ht="15" customHeight="1" s="171">
      <c r="A53" s="192">
        <f>'Jug Recipes'!C12</f>
        <v/>
      </c>
      <c r="B53" s="328" t="inlineStr">
        <is>
          <t>Whatever's Left</t>
        </is>
      </c>
      <c r="C53" s="229" t="inlineStr">
        <is>
          <t>Whatever is left</t>
        </is>
      </c>
    </row>
    <row r="54" ht="15" customHeight="1" s="171"/>
    <row r="55" ht="15" customHeight="1" s="171">
      <c r="A55" s="192" t="inlineStr">
        <is>
          <t>SECRET MENU —  “FOR PRINCESSES WHO COMPLAIN TOO MUCH” (and for the camp members; show it to the right people at your discretion.)</t>
        </is>
      </c>
    </row>
    <row r="56" ht="15" customHeight="1" s="171">
      <c r="A56" s="200" t="inlineStr">
        <is>
          <t>Drink</t>
        </is>
      </c>
      <c r="B56" s="200" t="inlineStr">
        <is>
          <t>What's in it</t>
        </is>
      </c>
      <c r="C56" s="200" t="inlineStr">
        <is>
          <t>Liquor option</t>
        </is>
      </c>
    </row>
    <row r="57" ht="15" customHeight="1" s="171">
      <c r="A57" s="200" t="inlineStr">
        <is>
          <t>Coconut Water</t>
        </is>
      </c>
      <c r="B57" s="329" t="inlineStr">
        <is>
          <t>Coconut Water</t>
        </is>
      </c>
      <c r="C57" s="200" t="n"/>
    </row>
    <row r="58" ht="15" customHeight="1" s="171">
      <c r="A58" s="200" t="inlineStr">
        <is>
          <t>Red Bull</t>
        </is>
      </c>
      <c r="B58" s="329" t="inlineStr">
        <is>
          <t>Red Bull</t>
        </is>
      </c>
      <c r="C58" s="200" t="n"/>
    </row>
    <row r="59" ht="15" customHeight="1" s="171">
      <c r="A59" s="326" t="inlineStr">
        <is>
          <t>Celsius</t>
        </is>
      </c>
      <c r="B59" s="326" t="inlineStr">
        <is>
          <t>Energy drink — sparkling, caffeinated</t>
        </is>
      </c>
      <c r="C59" s="327" t="inlineStr">
        <is>
          <t>—</t>
        </is>
      </c>
    </row>
    <row r="60" ht="15" customHeight="1" s="171">
      <c r="A60" s="326" t="inlineStr">
        <is>
          <t>White Claw (or equivalent)</t>
        </is>
      </c>
      <c r="B60" s="326" t="inlineStr">
        <is>
          <t>Hard seltzer — already alcoholic</t>
        </is>
      </c>
      <c r="C60" s="327" t="inlineStr">
        <is>
          <t>—</t>
        </is>
      </c>
    </row>
    <row r="61" ht="75" customHeight="1" s="171">
      <c r="A61" s="174" t="inlineStr">
        <is>
          <t>Counts and cost live on the Camp Drinks canned block and roll up through the Purchase List as Camp bulk — 36 Celsius, 60 seltzer, 48 Spindrift for the week. This is camper supply, not bar service, so it is not sized against guest servings. NOTE: SPINDRIFT IS NO LONGER SECRET — it moved to the LESS SWEET block on the main board on 11 Aug 2026, because sparkling water with a splash of real juice is the most obvious answer to 'nothing sweet' and hiding it made no sense. It is still bought as camp bulk; if it starts going at bar speed, raise the count on Assumptions B189.</t>
        </is>
      </c>
    </row>
    <row r="62" ht="15" customHeight="1" s="171"/>
    <row r="63" ht="15" customHeight="1" s="171">
      <c r="A63" s="192" t="inlineStr">
        <is>
          <t>NIGHTLY JUG — one per night while it lasts, plus a daytime jug on the closing Sunday</t>
        </is>
      </c>
    </row>
    <row r="64" ht="15" customHeight="1" s="171">
      <c r="A64" s="200" t="inlineStr">
        <is>
          <t>Drink</t>
        </is>
      </c>
      <c r="B64" s="200" t="inlineStr">
        <is>
          <t>What's in it</t>
        </is>
      </c>
      <c r="C64" s="200" t="inlineStr">
        <is>
          <t>Liquor option</t>
        </is>
      </c>
    </row>
    <row r="65" ht="15" customHeight="1" s="171">
      <c r="A65" s="323">
        <f>'Jug Recipes'!A4&amp;" — "&amp;'Jug Recipes'!C4</f>
        <v/>
      </c>
      <c r="B65" s="315" t="inlineStr">
        <is>
          <t>Sprite + Cherry + Lime</t>
        </is>
      </c>
      <c r="C65" s="206">
        <f>IF('Jug Recipes'!Q4="",'Jug Recipes'!P4,'Jug Recipes'!P4&amp;" / "&amp;'Jug Recipes'!Q4)</f>
        <v/>
      </c>
    </row>
    <row r="66" ht="75" customHeight="1" s="171">
      <c r="A66" s="323">
        <f>'Jug Recipes'!A5&amp;" — "&amp;'Jug Recipes'!C5</f>
        <v/>
      </c>
      <c r="B66" s="315" t="inlineStr">
        <is>
          <t>Watermelon + Mint + Agave</t>
        </is>
      </c>
      <c r="C66" s="206">
        <f>IF('Jug Recipes'!Q5="",'Jug Recipes'!P5,'Jug Recipes'!P5&amp;" / "&amp;'Jug Recipes'!Q5)</f>
        <v/>
      </c>
    </row>
    <row r="67" ht="75" customHeight="1" s="171">
      <c r="A67" s="323">
        <f>'Jug Recipes'!A6&amp;" — "&amp;'Jug Recipes'!C6</f>
        <v/>
      </c>
      <c r="B67" s="315" t="inlineStr">
        <is>
          <t>Smoked Tea + Lemonade + Lime</t>
        </is>
      </c>
      <c r="C67" s="206">
        <f>IF('Jug Recipes'!Q6="",'Jug Recipes'!P6,'Jug Recipes'!P6&amp;" / "&amp;'Jug Recipes'!Q6)</f>
        <v/>
      </c>
    </row>
    <row r="68" ht="15" customHeight="1" s="171">
      <c r="A68" s="323">
        <f>'Jug Recipes'!A7&amp;" — "&amp;'Jug Recipes'!C7</f>
        <v/>
      </c>
      <c r="B68" s="315" t="inlineStr">
        <is>
          <t>Hibiscus + Agave + Lime</t>
        </is>
      </c>
      <c r="C68" s="206">
        <f>IF('Jug Recipes'!Q7="",'Jug Recipes'!P7,'Jug Recipes'!P7&amp;" / "&amp;'Jug Recipes'!Q7)</f>
        <v/>
      </c>
    </row>
    <row r="69" ht="15" customHeight="1" s="171">
      <c r="A69" s="323">
        <f>'Jug Recipes'!A8&amp;" — "&amp;'Jug Recipes'!C8</f>
        <v/>
      </c>
      <c r="B69" s="315" t="inlineStr">
        <is>
          <t>Orange + Pineapple + Passion Fruit + Cherry Bitters</t>
        </is>
      </c>
      <c r="C69" s="206">
        <f>IF('Jug Recipes'!Q8="",'Jug Recipes'!P8,'Jug Recipes'!P8&amp;" / "&amp;'Jug Recipes'!Q8)</f>
        <v/>
      </c>
    </row>
    <row r="70" ht="15" customHeight="1" s="171">
      <c r="A70" s="323">
        <f>'Jug Recipes'!A9&amp;" — "&amp;'Jug Recipes'!C9</f>
        <v/>
      </c>
      <c r="B70" s="315" t="inlineStr">
        <is>
          <t>Horchata + Coconut Cream + Vanilla</t>
        </is>
      </c>
      <c r="C70" s="206">
        <f>IF('Jug Recipes'!Q9="",'Jug Recipes'!P9,'Jug Recipes'!P9&amp;" / "&amp;'Jug Recipes'!Q9)</f>
        <v/>
      </c>
    </row>
    <row r="71" ht="15" customHeight="1" s="171">
      <c r="A71" s="323">
        <f>'Jug Recipes'!A10&amp;" — "&amp;'Jug Recipes'!C10</f>
        <v/>
      </c>
      <c r="B71" s="315" t="inlineStr">
        <is>
          <t>Green Tea + Peach + Lemon</t>
        </is>
      </c>
      <c r="C71" s="206">
        <f>IF('Jug Recipes'!Q10="",'Jug Recipes'!P10,'Jug Recipes'!P10&amp;" / "&amp;'Jug Recipes'!Q10)</f>
        <v/>
      </c>
    </row>
    <row r="72" ht="149.25" customHeight="1" s="171">
      <c r="A72" s="323">
        <f>'Jug Recipes'!A11&amp;" — "&amp;'Jug Recipes'!C11</f>
        <v/>
      </c>
      <c r="B72" s="315" t="inlineStr">
        <is>
          <t>Green Tea + Peach + Lemon</t>
        </is>
      </c>
      <c r="C72" s="206">
        <f>IF('Jug Recipes'!Q11="",'Jug Recipes'!P11,'Jug Recipes'!P11&amp;" / "&amp;'Jug Recipes'!Q11)</f>
        <v/>
      </c>
    </row>
    <row r="85" ht="15" customHeight="1" s="171"/>
    <row r="86" ht="15" customHeight="1" s="171"/>
    <row r="87" ht="15" customHeight="1" s="171"/>
    <row r="88" ht="15" customHeight="1" s="171"/>
    <row r="89" ht="15" customHeight="1" s="171"/>
    <row r="90" ht="15" customHeight="1" s="171"/>
    <row r="91" ht="15" customHeight="1" s="171"/>
    <row r="92" ht="15" customHeight="1" s="171"/>
    <row r="93" ht="15" customHeight="1" s="171"/>
    <row r="94" ht="15" customHeight="1" s="171"/>
    <row r="95" ht="15" customHeight="1" s="171"/>
    <row r="1048569" ht="12.75" customHeight="1" s="171"/>
    <row r="1048570" ht="12.75" customHeight="1" s="171"/>
    <row r="1048571" ht="12.75" customHeight="1" s="171"/>
    <row r="1048572" ht="12.75" customHeight="1" s="171"/>
    <row r="1048573" ht="12.75" customHeight="1" s="171"/>
    <row r="1048574" ht="12.75" customHeight="1" s="171"/>
    <row r="1048575" ht="12.75" customHeight="1" s="171"/>
    <row r="1048576" ht="12.75" customHeight="1" s="171"/>
  </sheetData>
  <mergeCells count="3">
    <mergeCell ref="A1:C1"/>
    <mergeCell ref="A43:C43"/>
    <mergeCell ref="A3:C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2026-07-21T05:13:10Z</dcterms:created>
  <dcterms:modified xmlns:dcterms="http://purl.org/dc/terms/" xmlns:xsi="http://www.w3.org/2001/XMLSchema-instance" xsi:type="dcterms:W3CDTF">2026-08-22T06:01:38Z</dcterms:modified>
  <cp:revision>43</cp:revision>
</cp:coreProperties>
</file>