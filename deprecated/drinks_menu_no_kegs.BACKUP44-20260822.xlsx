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Start Here" sheetId="1" state="visible" r:id="rId3"/>
    <sheet name="Dirty Soda - Built Drinks" sheetId="2" state="visible" r:id="rId4"/>
    <sheet name="Jug Recipes" sheetId="3" state="visible" r:id="rId5"/>
    <sheet name="Jug Build Steps" sheetId="4" state="visible" r:id="rId6"/>
    <sheet name="Camp Drinks" sheetId="5" state="visible" r:id="rId7"/>
    <sheet name="Assumptions" sheetId="6" state="visible" r:id="rId8"/>
    <sheet name="Ingredient Pricing" sheetId="7" state="visible" r:id="rId9"/>
    <sheet name="Totals by Type" sheetId="8" state="visible" r:id="rId10"/>
    <sheet name="Beverage Lines" sheetId="9" state="visible" r:id="rId11"/>
    <sheet name="Packaged Prices" sheetId="10" state="visible" r:id="rId12"/>
    <sheet name="Packaged Sizing" sheetId="11" state="visible" r:id="rId13"/>
    <sheet name="Base Soda — Cans" sheetId="12" state="visible" r:id="rId14"/>
    <sheet name="Other Consumables" sheetId="13" state="visible" r:id="rId15"/>
    <sheet name="Purchase List" sheetId="14" state="visible" r:id="rId16"/>
    <sheet name="Supplies" sheetId="15" state="visible" r:id="rId17"/>
    <sheet name="Daily Schedule" sheetId="16" state="visible" r:id="rId18"/>
    <sheet name="Service Availability" sheetId="17" state="visible" r:id="rId19"/>
    <sheet name="Bar Add-Ons" sheetId="18" state="visible" r:id="rId20"/>
    <sheet name="Menu Board"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<sst xmlns="http://schemas.openxmlformats.org/spreadsheetml/2006/main" count="3022" uniqueCount="2072">
  <si>
    <t xml:space="preserve">Start Here — Future Turtles 2026 Drinks, orientation for whoever builds the menu</t>
  </si>
  <si>
    <t xml:space="preserve">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</si>
  <si>
    <t xml:space="preserve">THE SHAPE OF IT</t>
  </si>
  <si>
    <t xml:space="preserve">Roughly 1,460 servings across 8 days — Sunday through the closing Sunday, with that last one a daytime cafe rather than a night. 16 built-to-order recipes available all week (including Root Access, the dirty root beer float, and the two tequila builds below), 3 Saturday-only reveals, one 33-serving jug special per service, and Turtle Soup on its own standalone sign. THE JUG CHANGES EVERY DAY EXCEPT ONE: Saturday and the closing Sunday pour the same peach green iced tea, deliberately, so that the busiest night of the week has one thing on it that needs no attention.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</si>
  <si>
    <t xml:space="preserve">TABS YOU NEED FOR DESIGN</t>
  </si>
  <si>
    <t xml:space="preserve">'Service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</si>
  <si>
    <t xml:space="preserve">TABS THAT ARE PROCUREMENT ONLY — IGNORE FOR DESIGN</t>
  </si>
  <si>
    <t xml:space="preserve">'Purchase List', 'Packaged Sizing', 'Packaged Prices', 'Ingredient Pricing', 'Assumptions', 'Other Consumables', 'Base Soda — Cans', 'Beverage Lines', 'Totals by Type', 'Camp Drinks', 'Supplies'. These size and cost the shopping trip. Nothing in them belongs on a menu.</t>
  </si>
  <si>
    <t xml:space="preserve">HOUSE CONVENTIONS</t>
  </si>
  <si>
    <t xml:space="preserve">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</si>
  <si>
    <t xml:space="preserve">HARD RULES — DO NOT DESIGN AROUND THESE</t>
  </si>
  <si>
    <t xml:space="preserve">The three Saturday reveals (Sakura Kisses, Catboy Snot, Catboy Piss) MUST NOT appear on any menu shown before Saturday. They need their own separate card. Turtle Soup is NOT one of them — it is a standalone sign with no day attached, see 'Service Availability' section 4.</t>
  </si>
  <si>
    <t xml:space="preserve">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</si>
  <si>
    <t xml:space="preserve">Catboy Snot uses DRINKING aloe (inner-fillet, decolorized). Whole-leaf aloe is a laxative. If the bartender instructions mention aloe at all, they must say this.</t>
  </si>
  <si>
    <t xml:space="preserve">Nothing here is sold. No prices anywhere on a guest-facing menu.</t>
  </si>
  <si>
    <t xml:space="preserve">Saturday is the crunch: the reveals stack on top of the full standing menu. Bartender instructions should say the aloe, basil seeds and garnishes get prepped FRIDAY NIGHT.</t>
  </si>
  <si>
    <t xml:space="preserve">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</si>
  <si>
    <t xml:space="preserve">HISTORY — WHY IT LOOKS LIKE THIS</t>
  </si>
  <si>
    <t xml:space="preserve">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</si>
  <si>
    <t xml:space="preserve">Drink Recipes — absolute drink counts (per-serving oz)</t>
  </si>
  <si>
    <t xml:space="preserve">Recipe</t>
  </si>
  <si>
    <t xml:space="preserve">Servings</t>
  </si>
  <si>
    <t xml:space="preserve">(share)</t>
  </si>
  <si>
    <t xml:space="preserve">Base soda</t>
  </si>
  <si>
    <t xml:space="preserve">Base oz</t>
  </si>
  <si>
    <t xml:space="preserve">Syrup A</t>
  </si>
  <si>
    <t xml:space="preserve">A oz</t>
  </si>
  <si>
    <t xml:space="preserve">Syrup B</t>
  </si>
  <si>
    <t xml:space="preserve">B oz</t>
  </si>
  <si>
    <t xml:space="preserve">Soda water oz</t>
  </si>
  <si>
    <t xml:space="preserve">Coconut cream oz</t>
  </si>
  <si>
    <t xml:space="preserve">Special / garnish</t>
  </si>
  <si>
    <t xml:space="preserve">Liquor (optional)</t>
  </si>
  <si>
    <t xml:space="preserve">Liquor oz needed</t>
  </si>
  <si>
    <t xml:space="preserve">Tested?</t>
  </si>
  <si>
    <t xml:space="preserve">Tang Dynasty</t>
  </si>
  <si>
    <t xml:space="preserve">Kombucha (Island Mango)</t>
  </si>
  <si>
    <t xml:space="preserve">Tangerine juice</t>
  </si>
  <si>
    <t xml:space="preserve">Passion fruit purée</t>
  </si>
  <si>
    <t xml:space="preserve">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</si>
  <si>
    <t xml:space="preserve">Vodka</t>
  </si>
  <si>
    <t xml:space="preserve">Yes</t>
  </si>
  <si>
    <t xml:space="preserve">Michelada</t>
  </si>
  <si>
    <t xml:space="preserve">Mexican Lager</t>
  </si>
  <si>
    <t xml:space="preserve">Tres Agaves Bloody Mary Mix</t>
  </si>
  <si>
    <t xml:space="preserve">Lime juice (fresh)</t>
  </si>
  <si>
    <t xml:space="preserve">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</si>
  <si>
    <t xml:space="preserve">Vanilla Cherry Grove</t>
  </si>
  <si>
    <t xml:space="preserve">Coke</t>
  </si>
  <si>
    <t xml:space="preserve">Vanilla</t>
  </si>
  <si>
    <t xml:space="preserve">Cherry</t>
  </si>
  <si>
    <t xml:space="preserve">DOSED DOWN 21 Aug 2026 (back-propagated from the bar guide) — vanilla and cherry cut from 2 pumps (0.5oz) to 1 pump (0.25oz) each, soda water raised 0.5oz to 2oz. Lighter syrup, longer pour.</t>
  </si>
  <si>
    <t xml:space="preserve">Bourbon</t>
  </si>
  <si>
    <t xml:space="preserve">yes</t>
  </si>
  <si>
    <t xml:space="preserve">Orange Cream-sicle</t>
  </si>
  <si>
    <t xml:space="preserve">Orange Fanta</t>
  </si>
  <si>
    <t xml:space="preserve">Watermelon Sugar High</t>
  </si>
  <si>
    <t xml:space="preserve">Lemonade</t>
  </si>
  <si>
    <t xml:space="preserve">Watermelon juice</t>
  </si>
  <si>
    <t xml:space="preserve">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</si>
  <si>
    <t xml:space="preserve">Blanco Tequila</t>
  </si>
  <si>
    <t xml:space="preserve">A Ginger's Pickle (Big Dill Energy)</t>
  </si>
  <si>
    <t xml:space="preserve">Ginger ale</t>
  </si>
  <si>
    <t xml:space="preserve">Pickle Juice</t>
  </si>
  <si>
    <t xml:space="preserve">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</si>
  <si>
    <t xml:space="preserve">Whiskey</t>
  </si>
  <si>
    <t xml:space="preserve">The Dr's Cream</t>
  </si>
  <si>
    <t xml:space="preserve">Dr Pepper</t>
  </si>
  <si>
    <t xml:space="preserve">DOSED DOWN 21 Aug 2026 (back-propagated from the bar guide) — vanilla cut from 1oz to 0.5oz (2 pumps), same pump-to-oz convention as the rest of the syrup builds.</t>
  </si>
  <si>
    <t xml:space="preserve">The Dr's Peach Exam</t>
  </si>
  <si>
    <t xml:space="preserve">Peach</t>
  </si>
  <si>
    <t xml:space="preserve">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</si>
  <si>
    <t xml:space="preserve">SCOBY Mule</t>
  </si>
  <si>
    <t xml:space="preserve">Kombucha (Superberry)</t>
  </si>
  <si>
    <t xml:space="preserve">Yuzu juice</t>
  </si>
  <si>
    <t xml:space="preserve">Ginger beer</t>
  </si>
  <si>
    <t xml:space="preserve">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</si>
  <si>
    <t xml:space="preserve">Thirst Trap</t>
  </si>
  <si>
    <t xml:space="preserve">Squirt</t>
  </si>
  <si>
    <t xml:space="preserve">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a muddled garnish and the soda water thinned what was left — peach rounds the grapefruit instead of competing with it. No muddling, so it is a fast build.</t>
  </si>
  <si>
    <t xml:space="preserve">Sakura Kisses</t>
  </si>
  <si>
    <t xml:space="preserve">Green tea</t>
  </si>
  <si>
    <t xml:space="preserve">Orange syrup</t>
  </si>
  <si>
    <t xml:space="preserve">Sakura syrup</t>
  </si>
  <si>
    <t xml:space="preserve">SATURDAY ONLY — Catboy Café finale, built to order off the green tea keg (replaces the retired Saturday aqua fresca jug). Green tea over ice + sakura syrup + orange syrup (0.5 oz each), plus passion fruit purée (Assumptions B118); mint garnish. CHANGED 21 Aug 2026 — dropped the 2 oz orange juice pour; orange syrup now carries the orange note at 0.5 oz instead.</t>
  </si>
  <si>
    <t xml:space="preserve">Clear Cache</t>
  </si>
  <si>
    <t xml:space="preserve">Kombucha (Clear Mind)</t>
  </si>
  <si>
    <t xml:space="preserve">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</si>
  <si>
    <t xml:space="preserve">Catboy Snot</t>
  </si>
  <si>
    <t xml:space="preserve">Melon</t>
  </si>
  <si>
    <t xml:space="preserve">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</si>
  <si>
    <t xml:space="preserve">Catboy Piss</t>
  </si>
  <si>
    <t xml:space="preserve">Red Bull (Yellow Edition)</t>
  </si>
  <si>
    <t xml:space="preserve">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</si>
  <si>
    <t xml:space="preserve">Shirley Temple of Doom</t>
  </si>
  <si>
    <t xml:space="preserve">Sprite</t>
  </si>
  <si>
    <t xml:space="preserve">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</si>
  <si>
    <t xml:space="preserve">Shirley Mule</t>
  </si>
  <si>
    <t xml:space="preserve">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</si>
  <si>
    <t xml:space="preserve">Root Access</t>
  </si>
  <si>
    <t xml:space="preserve">Root beer</t>
  </si>
  <si>
    <t xml:space="preserve">A dirty root beer float. 4 oz root beer + 0.5 oz vanilla syrup + 1 oz cream of coconut over ice — stir gently, it will foam. Cream of coconut instead of dairy means it will not curdle and needs no refrigeration once opened. Cherry syrup in place of vanilla is the other good build.</t>
  </si>
  <si>
    <t xml:space="preserve">Spiced Rum</t>
  </si>
  <si>
    <t xml:space="preserve">Paloma</t>
  </si>
  <si>
    <t xml:space="preserve">Paloma mixer</t>
  </si>
  <si>
    <t xml:space="preserve">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</si>
  <si>
    <t xml:space="preserve">No — NEW, untested</t>
  </si>
  <si>
    <t xml:space="preserve">Ranch Water</t>
  </si>
  <si>
    <t xml:space="preserve">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</si>
  <si>
    <t xml:space="preserve">Margarita</t>
  </si>
  <si>
    <t xml:space="preserve">Margarita mixer</t>
  </si>
  <si>
    <t xml:space="preserve">Fresh lime</t>
  </si>
  <si>
    <t xml:space="preserve">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</si>
  <si>
    <t xml:space="preserve">Guavascript</t>
  </si>
  <si>
    <t xml:space="preserve">Guava syrup</t>
  </si>
  <si>
    <t xml:space="preserve">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</si>
  <si>
    <t xml:space="preserve">TOTAL BUILT-TO-ORDER SERVINGS</t>
  </si>
  <si>
    <t xml:space="preserve">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</si>
  <si>
    <t xml:space="preserve">SECRET PARTY — off-menu, NOT included in TOTAL BUILT-TO-ORDER SERVINGS (B24). Camp-mate request, 21 Aug 2026. Keep off the standing board and the Menu Board — a separate menu is being built just for this event (Service Availability section 6, Start Here hard rule).</t>
  </si>
  <si>
    <t xml:space="preserve">Vodka Shot</t>
  </si>
  <si>
    <t xml:space="preserve">—</t>
  </si>
  <si>
    <t xml:space="preserve">SECRET PARTY. Neat or on the rocks — no mixer, no build, fastest possible pour. This is the "I just need it in a cup" option when the line gets long.</t>
  </si>
  <si>
    <t xml:space="preserve">No — NEW, off-menu</t>
  </si>
  <si>
    <t xml:space="preserve">Vodka Cranberry</t>
  </si>
  <si>
    <t xml:space="preserve">Cranberry juice</t>
  </si>
  <si>
    <t xml:space="preserve">SECRET PARTY. Vodka + cranberry juice over ice. One pour, no muddle — built for a fast line.</t>
  </si>
  <si>
    <t xml:space="preserve">Screwdriver</t>
  </si>
  <si>
    <t xml:space="preserve">Orange juice</t>
  </si>
  <si>
    <t xml:space="preserve">SECRET PARTY. Vodka + orange juice over ice.</t>
  </si>
  <si>
    <t xml:space="preserve">Vodka Red Bull</t>
  </si>
  <si>
    <t xml:space="preserve">Red Bull</t>
  </si>
  <si>
    <t xml:space="preserve">SECRET PARTY. Vodka + Red Bull over ice — draws off the Red Bull already stocked for the standing board (Bar Add-Ons), not a new purchase. Either flavor works; save the Yellow Edition for Catboy Piss if both land the same night.</t>
  </si>
  <si>
    <t xml:space="preserve">Vodka Lemonade</t>
  </si>
  <si>
    <t xml:space="preserve">SECRET PARTY. Vodka + lemonade over ice — draws off the lemonade already stocked for Watermelon Sugar High, not a new purchase.</t>
  </si>
  <si>
    <t xml:space="preserve">Vodka Soda</t>
  </si>
  <si>
    <t xml:space="preserve">Soda water</t>
  </si>
  <si>
    <t xml:space="preserve">SECRET PARTY. Vodka + soda water + lime squeeze — draws off soda water already stocked, assumed sufficient for this event (no extra purchase added, per your 21 Aug 2026 call). REPLACED VODKA TONIC 21 Aug 2026.</t>
  </si>
  <si>
    <t xml:space="preserve">TOTAL SECRET PARTY SERVINGS</t>
  </si>
  <si>
    <t xml:space="preserve">Jug Recipes — the nightly 10 L batch, and what goes in it</t>
  </si>
  <si>
    <t xml:space="preserve">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</si>
  <si>
    <t xml:space="preserve">Day</t>
  </si>
  <si>
    <t xml:space="preserve"># Jugs</t>
  </si>
  <si>
    <t xml:space="preserve">Offering</t>
  </si>
  <si>
    <t xml:space="preserve">Format</t>
  </si>
  <si>
    <t xml:space="preserve">Ingredient 1</t>
  </si>
  <si>
    <t xml:space="preserve">Ing 1 oz</t>
  </si>
  <si>
    <t xml:space="preserve">Ingredient 2</t>
  </si>
  <si>
    <t xml:space="preserve">Ing 2 oz</t>
  </si>
  <si>
    <t xml:space="preserve">Ingredient 3</t>
  </si>
  <si>
    <t xml:space="preserve">Ing 3 oz</t>
  </si>
  <si>
    <t xml:space="preserve">Ingredient 4</t>
  </si>
  <si>
    <t xml:space="preserve">Ing 4 oz</t>
  </si>
  <si>
    <t xml:space="preserve">Ingredient 5</t>
  </si>
  <si>
    <t xml:space="preserve">Ing 5 oz</t>
  </si>
  <si>
    <t xml:space="preserve">Alcohol (optional)</t>
  </si>
  <si>
    <t xml:space="preserve">Alcohol — 2nd option (SIGNAGE ONLY)</t>
  </si>
  <si>
    <t xml:space="preserve">Alcohol oz needed</t>
  </si>
  <si>
    <t xml:space="preserve">Notes</t>
  </si>
  <si>
    <t xml:space="preserve">Sunday</t>
  </si>
  <si>
    <t xml:space="preserve">Cherry Bomb (Cherry Limeade)</t>
  </si>
  <si>
    <t xml:space="preserve">Cherry syrup</t>
  </si>
  <si>
    <t xml:space="preserve">Lime juice (bottled)</t>
  </si>
  <si>
    <t xml:space="preserve">Maraschino cherries (garnish)</t>
  </si>
  <si>
    <t xml:space="preserve">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</si>
  <si>
    <t xml:space="preserve">Monday</t>
  </si>
  <si>
    <t xml:space="preserve">Hard Reset (Watermelon-Mint Aqua Fresca)</t>
  </si>
  <si>
    <t xml:space="preserve">Watermelon (fresh, blended)</t>
  </si>
  <si>
    <t xml:space="preserve">Agave syrup</t>
  </si>
  <si>
    <t xml:space="preserve">Fresh mint (blended)</t>
  </si>
  <si>
    <t xml:space="preserve">Fresh lime (squeeze)</t>
  </si>
  <si>
    <t xml:space="preserve">Water (fill)</t>
  </si>
  <si>
    <t xml:space="preserve">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</si>
  <si>
    <t xml:space="preserve">Tuesday</t>
  </si>
  <si>
    <t xml:space="preserve">Smoke Test (Lapsang Souchong Lemonade)</t>
  </si>
  <si>
    <t xml:space="preserve">Lapsang souchong</t>
  </si>
  <si>
    <t xml:space="preserve">Water/ice (fill)</t>
  </si>
  <si>
    <t xml:space="preserve">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</si>
  <si>
    <t xml:space="preserve">Wednesday</t>
  </si>
  <si>
    <t xml:space="preserve">Red Flag (Agua de Jamaica)</t>
  </si>
  <si>
    <t xml:space="preserve">Dried hibiscus</t>
  </si>
  <si>
    <t xml:space="preserve">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</si>
  <si>
    <t xml:space="preserve">Thursday</t>
  </si>
  <si>
    <t xml:space="preserve">Gradient Descent (Malibu Sunrise)</t>
  </si>
  <si>
    <t xml:space="preserve">Pineapple juice</t>
  </si>
  <si>
    <t xml:space="preserve">Fee Brothers Cherry Bitters (garnish, a few dashes per cup — not batched)</t>
  </si>
  <si>
    <t xml:space="preserve">Coconut Rum</t>
  </si>
  <si>
    <t xml:space="preserve">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</si>
  <si>
    <t xml:space="preserve">Friday</t>
  </si>
  <si>
    <t xml:space="preserve">Whore-chata</t>
  </si>
  <si>
    <t xml:space="preserve">Rice Dream Horchata (ready-to-drink)</t>
  </si>
  <si>
    <t xml:space="preserve">Coconut cream</t>
  </si>
  <si>
    <t xml:space="preserve">Vanilla syrup</t>
  </si>
  <si>
    <t xml:space="preserve">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</si>
  <si>
    <t xml:space="preserve">Saturday</t>
  </si>
  <si>
    <t xml:space="preserve">Sleep Mode (Peach Green Iced Tea)</t>
  </si>
  <si>
    <t xml:space="preserve">Green tea (cold-steeped)</t>
  </si>
  <si>
    <t xml:space="preserve">Peach syrup</t>
  </si>
  <si>
    <t xml:space="preserve">Lemon juice (bottled)</t>
  </si>
  <si>
    <t xml:space="preserve">THE SAME DRINK AS THE CLOSING SUNDAY’S GRACEFUL SHUTDOWN, ON PURPOSE. Saturday is the Catboy Café night — Sakura Kisses, Catboy Snot and Catboy Piss all land built-to-order on top of the full standing board — so the jug has to be the one thing nobody has to think about. Cold-steeped green tea, peach syrup, fresh lemon, a little agave. STEEP IT FRIDAY NIGHT with the rest of the Saturday prep, in its own sealed, labelled container; Sunday’s jug gets a SECOND steep on Saturday night.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</si>
  <si>
    <t xml:space="preserve">Sunday (closing)</t>
  </si>
  <si>
    <t xml:space="preserve">Graceful Shutdown (Peach Green Iced Tea)</t>
  </si>
  <si>
    <t xml:space="preserve">CLOSING SUNDAY, DAYTIME — the extra service day, not a night jug. Cold-steeped green tea, peach syrup, fresh lemon and a little agave. Cheapest jug of the week by a distance: the green tea comes out of the 100-bag camp box that camp barely touches, and the agave and lemons are already on the list. Serve it long over ice; cut it with soda water for anyone who wants it unsweetened. Steep the tea SATURDAY NIGHT — it is the one prep job that survives the busiest day of the week. LEMON IS BOTTLED FOR THIS JUG (Purchase List row 44). 16.5 oz into a 10 L batch is about a dozen hand-squeezed lemons for something nobody can taste against the peach syrup and the tea. The fresh lemons are reserved for the per-drink squeezes on SCOBY Mule and Clear Cache.</t>
  </si>
  <si>
    <t xml:space="preserve">ANY NIGHT</t>
  </si>
  <si>
    <t xml:space="preserve">Turtle Soup (Mix of leftover alcohol)</t>
  </si>
  <si>
    <t xml:space="preserve">This is JUST for signage purposes, it will be made from whatever is left over.</t>
  </si>
  <si>
    <t xml:space="preserve">BACKUP</t>
  </si>
  <si>
    <t xml:space="preserve">Salted Limeade (spare jug — no extra shopping)</t>
  </si>
  <si>
    <t xml:space="preserve">10 L jug</t>
  </si>
  <si>
    <t xml:space="preserve">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</si>
  <si>
    <t xml:space="preserve">Sakura Kisses (Described in Built Drinks)</t>
  </si>
  <si>
    <t xml:space="preserve">INGREDIENT TOTALS (jug-batch buys)</t>
  </si>
  <si>
    <t xml:space="preserve">Total oz</t>
  </si>
  <si>
    <t xml:space="preserve">+buffer</t>
  </si>
  <si>
    <t xml:space="preserve">Units to buy</t>
  </si>
  <si>
    <t xml:space="preserve">$/unit</t>
  </si>
  <si>
    <t xml:space="preserve">Subtotal</t>
  </si>
  <si>
    <t xml:space="preserve">Note</t>
  </si>
  <si>
    <t xml:space="preserve">Watermelon (whole melons)</t>
  </si>
  <si>
    <t xml:space="preserve">Mon fresca — blend &amp; strain</t>
  </si>
  <si>
    <t xml:space="preserve">Agave syrup (bottles)</t>
  </si>
  <si>
    <t xml:space="preserve">Mon fresca + Wed Red Flag</t>
  </si>
  <si>
    <t xml:space="preserve">TAB TOTAL (rows above + below)</t>
  </si>
  <si>
    <t xml:space="preserve">Jug-format servings (for total-servings calc)</t>
  </si>
  <si>
    <t xml:space="preserve">New special ingredients (Sun Cherry Bomb / Thu sunrise / Sat + Sun peach tea):</t>
  </si>
  <si>
    <t xml:space="preserve">Orange juice (64oz cartons)</t>
  </si>
  <si>
    <t xml:space="preserve">Thu sunrise + Sat fresca</t>
  </si>
  <si>
    <t xml:space="preserve">Pineapple juice (24 x 8 oz cans)</t>
  </si>
  <si>
    <t xml:space="preserve">Thu sunrise</t>
  </si>
  <si>
    <t xml:space="preserve">Grenadine (bottles) — RETIRED 18 Aug 2026, replaced by Fee Brothers Cherry Bitters (Purchase List)</t>
  </si>
  <si>
    <t xml:space="preserve">RETIRED. Reads $0 on purpose — no ingredient is named "Grenadine" in the recipe grid any more, so the SUMPRODUCT above naturally zeroes. The Thursday jug's garnish is now Fee Brothers Cherry Bitters, bought as a flat bottle on Purchase List (was row 51, the old Grenadine line).</t>
  </si>
  <si>
    <t xml:space="preserve">Blue spirulina (jar)</t>
  </si>
  <si>
    <t xml:space="preserve">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</si>
  <si>
    <t xml:space="preserve">Lime juice (48oz bottles)</t>
  </si>
  <si>
    <t xml:space="preserve">Wed Cherry Limeade</t>
  </si>
  <si>
    <t xml:space="preserve">Maraschino cherries (jars)</t>
  </si>
  <si>
    <t xml:space="preserve">One cherry + juice splash per Wed cup (~35-40 cherries)</t>
  </si>
  <si>
    <t xml:space="preserve">Dried hibiscus (lb bags)</t>
  </si>
  <si>
    <t xml:space="preserve">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</si>
  <si>
    <t xml:space="preserve">Lapsang souchong (loose leaf)</t>
  </si>
  <si>
    <t xml:space="preserve">Tue Smoke Test — packs to nothing *** PART OF THIS IS SPOKEN FOR BY THE DAILY TEA STANDING TEA (Assumptions B252-B255) — do not reallocate the spare without checking there. ***</t>
  </si>
  <si>
    <t xml:space="preserve">Green tea teabags (Sun closing jug)</t>
  </si>
  <si>
    <t xml:space="preserve">teabags — DRAWN FROM THE CAMP BOX, not a separate buy. TWO jugs now steep green tea, Saturday and the closing Sunday, so this roughly doubled — and it still barely dents the box.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</si>
  <si>
    <t xml:space="preserve">Lemon juice (32oz bottles)</t>
  </si>
  <si>
    <t xml:space="preserve">Sat Sleep Mode + Sun Graceful Shutdown — 16.5 oz each. Mirrors the bottled lime on row 27: batch jugs take bottled, per-drink squeezes take fresh.</t>
  </si>
  <si>
    <t xml:space="preserve">Jug Build Steps — how to actually make each night</t>
  </si>
  <si>
    <t xml:space="preserve">The procedure card. 'Jug Recipes' says WHAT goes in; this says HOW and IN WHAT ORDER. Quantities in column F are live — they follow the # jugs on Jug Recipes, so they stay right if a night gets scaled up. Column E's container counts (2L bottles, Torani bottles, etc., added 22 Aug 2026) are STATIC, hand-computed off the current default servings — if a night's # jugs changes on Jug Recipes, re-derive these from column F rather than trusting the container counts written into the steps. Written for someone who has never made these, reading in the dark. FOR THE DESIGNER: this is one card per night, plus the standing block at the bottom which goes on the permanent card alongside the Main Instructions from 'Daily Schedule'.</t>
  </si>
  <si>
    <t xml:space="preserve">Drink</t>
  </si>
  <si>
    <t xml:space="preserve">Start by / time needed</t>
  </si>
  <si>
    <t xml:space="preserve">NIGHT BEFORE</t>
  </si>
  <si>
    <t xml:space="preserve">BUILD — in this order</t>
  </si>
  <si>
    <t xml:space="preserve">Batch quantities (live)</t>
  </si>
  <si>
    <t xml:space="preserve">AT SERVICE</t>
  </si>
  <si>
    <t xml:space="preserve">45 min before the party. Shortest build of the week.</t>
  </si>
  <si>
    <t xml:space="preserve">Nothing.</t>
  </si>
  <si>
    <t xml:space="preserve">BUILD IN HALVES — this pours in a 1-2 hour window. FULL NIGHT (33 servings) is ~2 x 2L bottles Sprite, ~2 Torani bottles cherry syrup, ~2/3 of a 48oz bottle lime juice, ~1 x 1L soda water — split it all in half per batch.
1. Half the cherry syrup (~1 Torani bottle) + half the lime (~11oz) into the dispenser.
2. Cold water to about half full.
3. Half the Sprite (~1 x 2L bottle) and half the soda water (~0.5L), poured DOWN THE INSIDE WALL. One gentle stir — do not whisk, you will kill the fizz.
4. Ice to fill. ~0.75 tsp salt.
5. Taste.
6. Build the second half the same way when the first is a third down. Do NOT pre-mix both.</t>
  </si>
  <si>
    <t xml:space="preserve">Pour and go. Maraschino cherry on top if supplies allow. Flatness is not a problem here — it is gone inside two hours.</t>
  </si>
  <si>
    <t xml:space="preserve">90 minutes. THE LONGEST BUILD OF THE WEEK — start early.</t>
  </si>
  <si>
    <t xml:space="preserve">Nothing. Melons travel fine unrefrigerated.</t>
  </si>
  <si>
    <t xml:space="preserve">1. Cut 2 melons into chunks. Reckon ~90 oz of juice per melon — 2 melons covers the ~106oz needed for 33 servings.
2. Blend in batches with a handful of mint. The 12 V blender is small — plan on 4-6 rounds.
3. Strain rough through the fine mesh into a gallon container. Some pulp is good; you are not making juice.
4. Strained juice + agave (~1/3 of a 36oz bottle, ~11.5oz) + lime to taste into the dispenser.
5. STILL water to fill. No tonic, no soda.
6. 1.5 tsp salt. Stir.</t>
  </si>
  <si>
    <t xml:space="preserve">Stir before each pour — pulp settles. Soda-water splash per cup if someone wants fizz. Blanco Tequila makes it a watermelon margarita.</t>
  </si>
  <si>
    <t xml:space="preserve">30 min, plus an overnight steep started Monday.</t>
  </si>
  <si>
    <t xml:space="preserve">MONDAY NIGHT: cold-steep ~2 oz of lapsang leaf in ~1.3 gal of cold water. Seal it.</t>
  </si>
  <si>
    <t xml:space="preserve">1. STRAIN THE LEAVES OUT FIRST. Left in, it keeps extracting and goes from campfire to ashtray.
2. TASTE THE TEA ON ITS OWN. This is the decision point — if it is acrid, cut it with water BEFORE it meets anything else.
3. Strong tea + lemonade (just over 1 x 96oz Kirkland bottle, ~99oz) + lime (~1/3 of a 48oz bottle) into the dispenser.
4. Water/ice to fill. 1.5 tsp salt.
5. Taste again.</t>
  </si>
  <si>
    <t xml:space="preserve">Naturally still, so nothing is going flat. No rush on this one.</t>
  </si>
  <si>
    <t xml:space="preserve">2 hours. Still the biggest build of the week.</t>
  </si>
  <si>
    <t xml:space="preserve">TUESDAY NIGHT: cold-steep the dried hibiscus for TWO jugs. Steeping hot on the day works too, but it then has to cool.</t>
  </si>
  <si>
    <t xml:space="preserve">1. Steep, then STRAIN THOROUGHLY. Flowers left in turn it bitter and astringent — figure ~1/3 of the 16oz hibiscus bag across both jugs tonight.
2. Two jugs, two dispensers — it fits, no juggling.
3. Per dispenser: hibiscus tea + agave (~1/2 of a 36oz bottle) + lime (~1/3 of a 48oz bottle)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</si>
  <si>
    <t xml:space="preserve">WARN PEOPLE IT STAINS — cups, hands, clothing, especially anything white. Naturally still, so there is no hurry once it is built.</t>
  </si>
  <si>
    <t xml:space="preserve">30 min.</t>
  </si>
  <si>
    <t xml:space="preserve">1. OJ (~1.5 x 64oz cartons) + pineapple (~10 x 8oz cans) + passion fruit purée (~1 x 16.9oz squeeze bottle) + lime (~1/3 of a 48oz bottle) into the dispenser.
2. Water/ice to fill. 1.5 tsp salt.
3. Stir well — the purée sinks.
4. THE BITTERS DO NOT GO IN THE JUG. Keep the Fee Brothers Cherry Bitters bottle at the bar.</t>
  </si>
  <si>
    <t xml:space="preserve">Pour the cup, THEN add 2-3 dashes of Fee Brothers Cherry Bitters on top. Swapped off grenadine 18 Aug 2026 — expect a cherry note and a light color tint, not the old heavy syrup-sink gradient. Orange slice or cherry if supplies allow.</t>
  </si>
  <si>
    <t xml:space="preserve">30 min for the jug. The rest of tonight belongs to Saturday.</t>
  </si>
  <si>
    <t xml:space="preserve">Nothing for this drink — but TONIGHT IS THE BIG SATURDAY PREP. See the Daily Schedule.</t>
  </si>
  <si>
    <t xml:space="preserve">1. Whisk the coconut cream (~1 x 16.9oz squeeze bottle) smooth in a little warm water FIRST. Straight from the bottle it clumps and you will never get it out.
2. Rice Dream Horchata (shake well, it settles — ~5 x 32oz bottles) + whisked coconut cream + vanilla syrup (~1/3 of a Torani bottle) — no dilution needed, it's ready-to-drink.
3. Water/ice to fill. 1.5 tsp salt.
4. WHISK, do not just stir.</t>
  </si>
  <si>
    <t xml:space="preserve">STIR BEFORE EVERY POUR — rice milk settles hard and fast. Cinnamon dust on top. Spiced Rum float on request.</t>
  </si>
  <si>
    <t xml:space="preserve">20 min on the day, plus an overnight cold steep started Friday. Deliberately the easiest build of the week — Saturday needs a jug that looks after itself.</t>
  </si>
  <si>
    <t xml:space="preserve">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</si>
  <si>
    <t xml:space="preserve">1. Pull the teabags. Do not squeeze them.
2. Tea (the ~2gal steeped last night) into the dispenser, then peach syrup (~1.3 Torani bottles), then lemon (~1/3 of a 48oz bottle), then agave (~1/4 of a 36oz bottle).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</si>
  <si>
    <t xml:space="preserve">Pour and go. Naturally still, so there is nothing to keep fizzy and nothing to stir — which is the entire point on the night the three reveals land. Soda-water splash for anyone who wants it longer or less sweet. Same drink as tomorrow, so anyone who liked it can have it again.</t>
  </si>
  <si>
    <t xml:space="preserve">20 min on the day, plus an overnight cold steep started Saturday. Easiest build of the week — which is the point, on the day everyone is packing.</t>
  </si>
  <si>
    <t xml:space="preserve">SATURDAY NIGHT: cold-steep ~10 green teabags in ~2 gal of cold water and seal it. Cold-steeping cannot go bitter the way a hot steep can, so this one survives being forgotten until morning.</t>
  </si>
  <si>
    <t xml:space="preserve">1. Pull the teabags. Do not squeeze them.
2. Tea (the ~2gal steeped last night) into the dispenser, then peach syrup (~1.3 Torani bottles), then lemon (~1/3 of a 48oz bottle), then agave (~1/4 of a 36oz bottle).
3. Taste BEFORE the ice. Peach syrup varies; this should read as tea with peach behind it, not peach squash.
4. Water/ice to fill. 1.5 tsp salt.</t>
  </si>
  <si>
    <t xml:space="preserve">Daytime service, so it goes out warm-adjacent fast — keep the dispenser out of the sun and the ice topped up. Soda-water splash for anyone who wants it unsweetened.</t>
  </si>
  <si>
    <t xml:space="preserve">EVERY JUG, EVERY TIME — the standing rules</t>
  </si>
  <si>
    <t xml:space="preserve">Wipe the dispenser and the spigot before you start. Dust gets into everything, and the spigot is the bit everyone touches.</t>
  </si>
  <si>
    <t xml:space="preserve">ORDER MATTERS: syrups and juices first, then water, then ICE LAST. Ice first means it melts while you are still stirring and you end up with a weak jug.</t>
  </si>
  <si>
    <t xml:space="preserve">SALT EVERY JUG — about 1.5 tsp per 10 L. It is not optional and it is not for flavour exactly; it is what makes a batch taste finished instead of watery in the heat.</t>
  </si>
  <si>
    <t xml:space="preserve">TASTE IT BEFORE IT GOES OUT. Every recipe here is a starting point, not a law. Fruit varies, steeps vary, and nobody will know it was wrong except the 33 people who drink it.</t>
  </si>
  <si>
    <t xml:space="preserve">BATCH BEFORE SERVICE OPENS, never during. A jug built in a rush is a jug built wrong.</t>
  </si>
  <si>
    <t xml:space="preserve">Label the dispenser. The special changes every night and the sign from yesterday is a lie.</t>
  </si>
  <si>
    <t xml:space="preserve">If a jug runs dry early there is a Salted Limeade fallback on 'Jug Recipes' row 13 that needs no extra shopping.</t>
  </si>
  <si>
    <t xml:space="preserve">Camp Drinks — bulk, self-serve, not bar service</t>
  </si>
  <si>
    <t xml:space="preserve">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</si>
  <si>
    <t xml:space="preserve">Gallons</t>
  </si>
  <si>
    <t xml:space="preserve">Servings (10oz)</t>
  </si>
  <si>
    <t xml:space="preserve">What to buy</t>
  </si>
  <si>
    <t xml:space="preserve">Qty</t>
  </si>
  <si>
    <t xml:space="preserve">Unit</t>
  </si>
  <si>
    <t xml:space="preserve">Cold brew coffee</t>
  </si>
  <si>
    <t xml:space="preserve">Stone Street COARSE cold brew coffee (5 lb bags)</t>
  </si>
  <si>
    <t xml:space="preserve">lbs</t>
  </si>
  <si>
    <t xml:space="preserve">Steeped directly at full volume, no separate concentrate/dilution stage (an earlier note describing a concentrate-then-cut-1:1 method was a faulty assumption and has been removed, 21 Aug 2026).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</si>
  <si>
    <t xml:space="preserve">Electrolyte mix</t>
  </si>
  <si>
    <t xml:space="preserve">Powder canisters</t>
  </si>
  <si>
    <t xml:space="preserve">canisters</t>
  </si>
  <si>
    <t xml:space="preserve">Gatorade-style 51oz canister, ~6 gal each. Assumptions B86 sets gallons/day.</t>
  </si>
  <si>
    <t xml:space="preserve">Winter melon tea (dong gua cha)</t>
  </si>
  <si>
    <t xml:space="preserve">Tea/sugar blocks</t>
  </si>
  <si>
    <t xml:space="preserve">blocks</t>
  </si>
  <si>
    <t xml:space="preserve">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</si>
  <si>
    <t xml:space="preserve">Mugicha (roasted barley tea)</t>
  </si>
  <si>
    <t xml:space="preserve">Teabags</t>
  </si>
  <si>
    <t xml:space="preserve">boxes</t>
  </si>
  <si>
    <t xml:space="preserve">Cold-steep overnight, serve iced and unsweetened. Shares the dedicated tea dispenser with the suan mei tang — brewed in two batches, Thursday and Saturday. Label it: unsweetened surprises people.</t>
  </si>
  <si>
    <t xml:space="preserve">Green tea (iced)</t>
  </si>
  <si>
    <t xml:space="preserve">Cold-steep overnight, serve iced and unsweetened. THIRD tea on the dedicated dispenser (Supplies row 23) — suan mei tang and mugicha already share it, so either stagger a third brew slot or add a fourth dispenser. Label it unsweetened.</t>
  </si>
  <si>
    <t xml:space="preserve">Tangerine juice (RATIONED)</t>
  </si>
  <si>
    <t xml:space="preserve">Quart cartons, chilled</t>
  </si>
  <si>
    <t xml:space="preserve">quarts</t>
  </si>
  <si>
    <t xml:space="preserve">***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</si>
  <si>
    <t xml:space="preserve">TOTAL</t>
  </si>
  <si>
    <t xml:space="preserve">These eleven are tagged 'Camp bulk' on the Purchase List — camper supply, not bar service. They are not sized against guest servings and do not appear in the per-drink cost figures.</t>
  </si>
  <si>
    <t xml:space="preserve">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</si>
  <si>
    <t xml:space="preserve">Cans (from Assumptions)</t>
  </si>
  <si>
    <t xml:space="preserve">Servings (= cans)</t>
  </si>
  <si>
    <t xml:space="preserve">Celsius (energy drink)</t>
  </si>
  <si>
    <t xml:space="preserve">12-packs</t>
  </si>
  <si>
    <t xml:space="preserve">packs</t>
  </si>
  <si>
    <t xml:space="preserve">Camper stock — caffeine that is not coffee. Not bar service and not counted in the per-drink figures.</t>
  </si>
  <si>
    <t xml:space="preserve">White Claw (or equivalent hard seltzer)</t>
  </si>
  <si>
    <t xml:space="preserve">ALREADY ALCOHOLIC — no liquor add-on. Any equivalent seltzer substitutes 1:1; swap the price on Assumptions B188.</t>
  </si>
  <si>
    <t xml:space="preserve">Spindrift</t>
  </si>
  <si>
    <t xml:space="preserve">24-packs</t>
  </si>
  <si>
    <t xml:space="preserve">Sparkling water with real juice — the low-sugar option for people who are done with syrup.</t>
  </si>
  <si>
    <t xml:space="preserve">Ginger beer (camper stock)</t>
  </si>
  <si>
    <t xml:space="preserve">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</si>
  <si>
    <t xml:space="preserve">Mountain Dew (camper stock)</t>
  </si>
  <si>
    <t xml:space="preserve">TOTAL — CANNED</t>
  </si>
  <si>
    <t xml:space="preserve">COFFEE CREAMER — camper item</t>
  </si>
  <si>
    <t xml:space="preserve">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</si>
  <si>
    <t xml:space="preserve">Item</t>
  </si>
  <si>
    <t xml:space="preserve">Coffee creamer</t>
  </si>
  <si>
    <t xml:space="preserve">Creamer, 32oz — 4 dairy (Starbucks Caramel Macchiato, already ordered)</t>
  </si>
  <si>
    <t xml:space="preserve">bottles</t>
  </si>
  <si>
    <t xml:space="preserve">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</si>
  <si>
    <t xml:space="preserve">DISPENSER SIGNS — 3 x 5, taped to the dispenser</t>
  </si>
  <si>
    <t xml:space="preserve">Print and laminate before playa (Supplies row 26). All three teas are cold and unsweetened — without a sign people assume iced tea, take one sip and walk off. Say what it is, say it is unsweetened, say it is cold. Keep it to what fits on a 3 x 5 card.</t>
  </si>
  <si>
    <t xml:space="preserve">Sign</t>
  </si>
  <si>
    <t xml:space="preserve">Headline</t>
  </si>
  <si>
    <t xml:space="preserve">Body copy</t>
  </si>
  <si>
    <t xml:space="preserve">Winter melon tea</t>
  </si>
  <si>
    <t xml:space="preserve">WINTER MELON TEA — Dong Gua Cha</t>
  </si>
  <si>
    <t xml:space="preserve">Chinese/Taiwanese winter melon sugar tea, served ice cold. SWEET — the one sweet option on the camp tea dispenser, unlike the other two. Smooth, mellow, caramel-like, not fruity. Caffeine-free.</t>
  </si>
  <si>
    <t xml:space="preserve">Mugicha</t>
  </si>
  <si>
    <t xml:space="preserve">MUGICHA — Roasted Barley Tea</t>
  </si>
  <si>
    <t xml:space="preserve">Roasted barley, brewed cold. UNSWEETENED and CAFFEINE-FREE. Nutty and toasty, not bitter. Drink it like water — this is the one to hand someone who has had enough sugar for one day.</t>
  </si>
  <si>
    <t xml:space="preserve">GREEN TEA — Iced, Unsweetened</t>
  </si>
  <si>
    <t xml:space="preserve">Cold-steeped green tea. UNSWEETENED, lightly caffeinated. Clean and grassy, not bitter — brewed cold so it never gets stewed. The one to drink when you want tea that tastes like tea.</t>
  </si>
  <si>
    <t xml:space="preserve">TANGERINE JUICE — Rationed</t>
  </si>
  <si>
    <t xml:space="preserve">Real tangerine juice, cold. There is not much of it and there will not be more. One cup, enjoy it, leave some for the person behind you.</t>
  </si>
  <si>
    <t xml:space="preserve">Future Turtles Drinks — Supply Model (Burning Man 2026)</t>
  </si>
  <si>
    <t xml:space="preserve">REPRICED — see the 'Ingredient Pricing' tab. Base soda, soda water, syrups, cream of coconut, purées, juices, agave, citrus and cherries now carry real July 2026 Costco / WebstaurantStore / Walmart prices instead of placeholders.</t>
  </si>
  <si>
    <t xml:space="preserve">KEY INPUTS — yellow cells are editable</t>
  </si>
  <si>
    <t xml:space="preserve">Input</t>
  </si>
  <si>
    <t xml:space="preserve">Value</t>
  </si>
  <si>
    <t xml:space="preserve">Buffer (waste/over-pour)</t>
  </si>
  <si>
    <t xml:space="preserve">Applied to consumables.</t>
  </si>
  <si>
    <t xml:space="preserve">Cans per case (base soda)</t>
  </si>
  <si>
    <t xml:space="preserve">12 oz can case.</t>
  </si>
  <si>
    <t xml:space="preserve">Can size (oz)</t>
  </si>
  <si>
    <t xml:space="preserve">Standard can.</t>
  </si>
  <si>
    <t xml:space="preserve">Syrup bottle size (oz)</t>
  </si>
  <si>
    <t xml:space="preserve">Torani 750ml. PUMP REFERENCE, added 20 Aug 2026: a standard Torani pump is 1/4 oz — 4 pumps = 1 fl oz. Recipe oz doses of 0.25 read as 1 pump, 0.5 as 2 pumps, 0.75 as 3 pumps, and so on.</t>
  </si>
  <si>
    <t xml:space="preserve">Cream of coconut (oz/bottle)</t>
  </si>
  <si>
    <t xml:space="preserve">22oz squeeze bottle (Amazon).</t>
  </si>
  <si>
    <t xml:space="preserve">Half &amp; half (oz/quart) — LEGACY</t>
  </si>
  <si>
    <t xml:space="preserve">Dairy dropped — replaced by cream of coconut squeeze bottles.</t>
  </si>
  <si>
    <t xml:space="preserve">Sizing unit (gal) — legacy keg block</t>
  </si>
  <si>
    <t xml:space="preserve">All 5 kegs assumed 5 gal.</t>
  </si>
  <si>
    <t xml:space="preserve">Servings per unit</t>
  </si>
  <si>
    <t xml:space="preserve">Derived: (keg gal x 128 - loss) / pour size. Change B120 to resize every keg count in the model.</t>
  </si>
  <si>
    <t xml:space="preserve">Squirt bottle size (oz) — LEGACY</t>
  </si>
  <si>
    <t xml:space="preserve">Legacy 2L sizing — Squirt now bought in 12oz cans like the other sodas.</t>
  </si>
  <si>
    <t xml:space="preserve">UNIT PRICES</t>
  </si>
  <si>
    <t xml:space="preserve">Base soda — $/case (24)</t>
  </si>
  <si>
    <t xml:space="preserve">Lemonade — $/96 oz bottle</t>
  </si>
  <si>
    <t xml:space="preserve">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</si>
  <si>
    <t xml:space="preserve">Horchata mix — $/case-equiv — RETIRED 18 Aug 2026</t>
  </si>
  <si>
    <t xml:space="preserve">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</si>
  <si>
    <t xml:space="preserve">Syrup — $/bottle</t>
  </si>
  <si>
    <t xml:space="preserve">Cream of coconut — $/bottle</t>
  </si>
  <si>
    <t xml:space="preserve">Half &amp; half — $/quart — LEGACY</t>
  </si>
  <si>
    <t xml:space="preserve">Soda water — $/case — LEGACY (soda water is 1 L now, see B236)</t>
  </si>
  <si>
    <t xml:space="preserve">Squirt — (now in cans; see soda case price)</t>
  </si>
  <si>
    <t xml:space="preserve">Cider — old keg $ (BASELINE ONLY)</t>
  </si>
  <si>
    <t xml:space="preserve">Kombucha — old keg $ (BASELINE ONLY)</t>
  </si>
  <si>
    <t xml:space="preserve">Beer — old keg $ (BASELINE ONLY)</t>
  </si>
  <si>
    <t xml:space="preserve">Green tea — old keg $ (BASELINE ONLY)</t>
  </si>
  <si>
    <t xml:space="preserve">Old keg add-ons/garnish $ (BASELINE ONLY)</t>
  </si>
  <si>
    <t xml:space="preserve">Kombucha</t>
  </si>
  <si>
    <t xml:space="preserve">Kombucha Mule add-ins (yuzu/agave/ginger beer); Tang Dynasty extras are itemized separately.</t>
  </si>
  <si>
    <t xml:space="preserve">RETIRED — KEG EQUIPMENT (kept only as the cost baseline)</t>
  </si>
  <si>
    <t xml:space="preserve">Keg deposit — each (REFUNDABLE)</t>
  </si>
  <si>
    <t xml:space="preserve">Cash needed up front, returned with the empties — excluded from program cost.</t>
  </si>
  <si>
    <t xml:space="preserve">Double jockey box (2 taps) — $ per 4-day rental</t>
  </si>
  <si>
    <t xml:space="preserve">Ice-cooled coil box; no kegerator needed.</t>
  </si>
  <si>
    <t xml:space="preserve">Rental periods (12 days = 3 x 4-day)</t>
  </si>
  <si>
    <t xml:space="preserve">CO2 refill — $ each</t>
  </si>
  <si>
    <t xml:space="preserve">CO2 refills — count</t>
  </si>
  <si>
    <t xml:space="preserve">10lb pushes ~5-7 kegs; 2nd fill covers heat/venting losses.</t>
  </si>
  <si>
    <t xml:space="preserve">LIQUOR (OPTIONAL ADD-ON)</t>
  </si>
  <si>
    <t xml:space="preserve">% of drinks made alcoholic</t>
  </si>
  <si>
    <t xml:space="preserve">Applied to servings per recipe to size liquor needs.</t>
  </si>
  <si>
    <t xml:space="preserve">Liquor pour per alcoholic drink (oz)</t>
  </si>
  <si>
    <t xml:space="preserve">Standard single shot.</t>
  </si>
  <si>
    <t xml:space="preserve">Liquor bottle size (oz)</t>
  </si>
  <si>
    <t xml:space="preserve">750ml standard.</t>
  </si>
  <si>
    <t xml:space="preserve">Vodka — $/bottle</t>
  </si>
  <si>
    <t xml:space="preserve">Repriced 2 Aug 2026. Tito's 750 ml, Total Wine $14.99-15.49. SEE THE 1.75 L NOTE BELOW — Kirkland is $8.35 per 750 ml equivalent.</t>
  </si>
  <si>
    <t xml:space="preserve">Coconut Rum — $/bottle</t>
  </si>
  <si>
    <t xml:space="preserve">Repriced 2 Aug 2026. Malibu 750 ml, Total Wine $15.49.</t>
  </si>
  <si>
    <t xml:space="preserve">Bourbon — $/bottle</t>
  </si>
  <si>
    <t xml:space="preserve">Repriced 2 Aug 2026. Evan Williams Black 750 ml, Total Wine $13.99 and it mixes fine. The old $28 only holds if you specifically want Buffalo Trace (~$29.99).</t>
  </si>
  <si>
    <t xml:space="preserve">Blanco Tequila — $/bottle</t>
  </si>
  <si>
    <t xml:space="preserve">Repriced 2 Aug 2026. Espolòn Blanco 750 ml, ~$25.99 in store. Kirkland Tequila Blanco is 50-60% cheaper per 750 ml if you take the 1.75 L.</t>
  </si>
  <si>
    <t xml:space="preserve">Spiced Rum — $/bottle</t>
  </si>
  <si>
    <t xml:space="preserve">Repriced 2 Aug 2026. Captain Morgan Original 750 ml, Total Wine $15.99.</t>
  </si>
  <si>
    <t xml:space="preserve">Whiskey — $/bottle</t>
  </si>
  <si>
    <t xml:space="preserve">Repriced 2 Aug 2026. Jameson 750 ml $24.99. Ole Smoky Pickles moonshine, for the one pickle bottle, is $21.99.</t>
  </si>
  <si>
    <t xml:space="preserve">DAILY SPECIALS &amp; SUNDAY PARTY (new inputs)</t>
  </si>
  <si>
    <t xml:space="preserve">Taps available at once (Mon–Sat)</t>
  </si>
  <si>
    <t xml:space="preserve">Two continuous tap lines now: a 'beer line' + an 'other tap' line, each evolving through kegs across the week. See Keg Rotation tab.</t>
  </si>
  <si>
    <t xml:space="preserve">Aqua fresca fruit base — oz/serving</t>
  </si>
  <si>
    <t xml:space="preserve">Juice per fresca serving (watermelon Mon; Sat OJ fresca uses 4 oz).</t>
  </si>
  <si>
    <t xml:space="preserve">Aqua fresca fruit base — $/32oz bottle</t>
  </si>
  <si>
    <t xml:space="preserve">Legacy — Mon/Sat frescas now use whole melons / OJ cartons.</t>
  </si>
  <si>
    <t xml:space="preserve">Aqua fresca fruit base — oz/bottle</t>
  </si>
  <si>
    <t xml:space="preserve">Agave — oz/serving (jug frescas)</t>
  </si>
  <si>
    <t xml:space="preserve">Agave per serving for the Monday watermelon fresca. DROPPED from 0.45 — watermelon is already sweet and was getting more sugar than the hibiscus, which is far tarter. Agave is ~1.5x sweeter than simple syrup, so this is roughly 0.5 oz of simple. Taste and nudge.</t>
  </si>
  <si>
    <t xml:space="preserve">Simple syrup — $/bottle — LEGACY (agave now, B133)</t>
  </si>
  <si>
    <t xml:space="preserve">Reuse Torani-size bottle for costing.</t>
  </si>
  <si>
    <t xml:space="preserve">Simple syrup — oz/bottle — LEGACY (agave now, B132)</t>
  </si>
  <si>
    <t xml:space="preserve">Snow Paws Milkshake IPA — RETIRED</t>
  </si>
  <si>
    <t xml:space="preserve">Legacy — Snow Paws cut; second Kombucha keg closes the beer line instead.</t>
  </si>
  <si>
    <t xml:space="preserve">Sour Ale — old keg $ (BASELINE ONLY)</t>
  </si>
  <si>
    <t xml:space="preserve">Sunday party + first couple days.</t>
  </si>
  <si>
    <t xml:space="preserve">Blonde Ale — old keg $ (BASELINE ONLY)</t>
  </si>
  <si>
    <t xml:space="preserve">Sunday party pour + Michelada base Wed–Fri.</t>
  </si>
  <si>
    <t xml:space="preserve">Michelada build — servings (from Mexican Lager keg)</t>
  </si>
  <si>
    <t xml:space="preserve">Built to order from the Mexican Lager keg, like the Kombucha Mule. 30 of the keg's 50 pours go out as Micheladas; the other 20 are pulled straight (see 'Beverage Lines'!C11, which takes the remainder).</t>
  </si>
  <si>
    <t xml:space="preserve">Michelada extras — $/serving (Tajin, lime, Clamato, hot sauce)</t>
  </si>
  <si>
    <t xml:space="preserve">Sakura + orange syrup — $/bottle</t>
  </si>
  <si>
    <t xml:space="preserve">Added to the green tea keg for the Sat Catboy Café.</t>
  </si>
  <si>
    <t xml:space="preserve">Sakura + orange syrup — bottles needed</t>
  </si>
  <si>
    <t xml:space="preserve">1 sakura + 1 orange — covers the built Catboy Café Green Tea (Recipes row 14).</t>
  </si>
  <si>
    <t xml:space="preserve">Rough daily-volume note</t>
  </si>
  <si>
    <t xml:space="preserve">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</si>
  <si>
    <t xml:space="preserve">Half keg price factor (vs full keg)</t>
  </si>
  <si>
    <t xml:space="preserve">Vendor charges more per-oz for the smaller format, so it's not a flat 50%.</t>
  </si>
  <si>
    <t xml:space="preserve">Servings per half keg</t>
  </si>
  <si>
    <t xml:space="preserve">Half of a full keg's servings, rounded down.</t>
  </si>
  <si>
    <t xml:space="preserve">Mexican Lager — old keg $ (BASELINE ONLY)</t>
  </si>
  <si>
    <t xml:space="preserve">Built into Michelada mid-week (Wed-Thu) instead of Blonde Ale.</t>
  </si>
  <si>
    <t xml:space="preserve">Daily jug size (L)</t>
  </si>
  <si>
    <t xml:space="preserve">10 L drink dispenser (~2.6 gal). Derived oz and servings-per-jug are at rows 115-117; the Daily Schedule servings column reads from B117, so changing this resizes every nightly batch and its ingredient buys.</t>
  </si>
  <si>
    <t xml:space="preserve">Orange juice — oz/carton</t>
  </si>
  <si>
    <t xml:space="preserve">Orange juice — $/carton</t>
  </si>
  <si>
    <t xml:space="preserve">Pineapple juice — oz/pack (24 x 8 oz)</t>
  </si>
  <si>
    <t xml:space="preserve">FORMAT CHANGED 14 Aug 2026 — bought as Dole 100% Pineapple Juice, 24 x 8 fl oz = 192 oz per pack, not a 46 oz can. The Thursday Gradient Descent jug draws 82.5 oz (94.9 with buffer), so ONE pack covers it with 97 oz to spare — the leftover 8 oz cans are perfectly good handed out cold.</t>
  </si>
  <si>
    <t xml:space="preserve">Pineapple juice — $/pack</t>
  </si>
  <si>
    <t xml:space="preserve">*** UNCHECKED PLACEHOLDER — $13.99 assumed for the Dole 24 x 8 oz pack. GET THE RECEIPT PRICE AND REPLACE. *** Was $3.33 per 46 oz can. Only one pack is bought, so the whole line moves with this cell.</t>
  </si>
  <si>
    <t xml:space="preserve">Grenadine — oz/bottle — RETIRED 18 Aug 2026</t>
  </si>
  <si>
    <t xml:space="preserve">Grenadine — $/bottle — RETIRED 18 Aug 2026</t>
  </si>
  <si>
    <t xml:space="preserve">Repriced 2 Aug 2026. Rose's Grenadine 25 oz, Smart &amp; Final Reno $7.99. RETIRED 18 Aug 2026 — Thursday's jug garnish switched to Fee Brothers Cherry Bitters. Left in place, harmless: Jug Recipes row 25 now always evaluates to 0 regardless of these values.</t>
  </si>
  <si>
    <t xml:space="preserve">Blue spirulina — $/jar</t>
  </si>
  <si>
    <t xml:space="preserve">Repriced 2 Aug 2026. RESPECIFIED to a 30 g jar. The 50 g size barely exists — the market is 30 g and 60 g (Target Micro Ingredients 60 g $32.99). At 0.25-0.5 g per drink for colour, 30 g at ~$16 covers the week comfortably.</t>
  </si>
  <si>
    <t xml:space="preserve">Watermelon — juice yield oz/melon</t>
  </si>
  <si>
    <t xml:space="preserve">~15 lb melon → ~3 qt strained juice.</t>
  </si>
  <si>
    <t xml:space="preserve">Watermelon — $/melon</t>
  </si>
  <si>
    <t xml:space="preserve">Lime juice — oz/bottle</t>
  </si>
  <si>
    <t xml:space="preserve">ReaLime-style bottled.</t>
  </si>
  <si>
    <t xml:space="preserve">Lime juice — $/bottle</t>
  </si>
  <si>
    <t xml:space="preserve">Maraschino cherries — $/jar</t>
  </si>
  <si>
    <t xml:space="preserve">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</si>
  <si>
    <t xml:space="preserve">Event days (camp bulk drinks)</t>
  </si>
  <si>
    <t xml:space="preserve">Sun through the CLOSING SUNDAY — eight days, not seven. Scales cold brew and electrolytes on Camp Drinks rows 6-7, and every buy that hangs off them. The eighth day is the daytime cafe service that carries the Graceful Shutdown jug ('Jug Recipes' row 11).</t>
  </si>
  <si>
    <t xml:space="preserve">Cold brew — gallons/day</t>
  </si>
  <si>
    <t xml:space="preserve">Cold brew grounds — lb per gallon</t>
  </si>
  <si>
    <t xml:space="preserve">CORRECTED 21 Aug 2026 — earlier notes here described a concentrate-then-cut-1:1 brew method; that was a faulty assumption and has been removed. The brew is steeped directly at full strength in the full daily volume (Assumptions B82), no separate concentrate or dilution step. 0.5 lb grounds per gallon of that direct steep, confirmed by the user (1.5 lb grounds in 3 gal water, one mesh bag). 24 finished gal x 0.5 lb/gal = 12 lb needed across the 8 days.</t>
  </si>
  <si>
    <t xml:space="preserve">Cold brew grounds — lb per purchase unit</t>
  </si>
  <si>
    <t xml:space="preserve">CHANGED 18 Aug 2026, was 5 (fixed 5 lb bags). Ground coffee is now being bought as whatever bag sizes are actually in stock, not standardized 5 lb bags — set to 1 so the 'bags' column below just tracks lbs directly.</t>
  </si>
  <si>
    <t xml:space="preserve">Cold brew grounds — $/lb</t>
  </si>
  <si>
    <t xml:space="preserve">UPDATED 18 Aug 2026 — real receipt: 7 x 2lb bags at $23.99 each = $167.93 for 14 lb, i.e. $12.00/lb almost exactly ($11.995). Replaces the $14.60/lb placeholder.</t>
  </si>
  <si>
    <t xml:space="preserve">Electrolyte mix — gallons/day</t>
  </si>
  <si>
    <t xml:space="preserve">Electrolyte mix — gal per canister</t>
  </si>
  <si>
    <t xml:space="preserve">Repriced 2 Aug 2026. Costco sells a 76.5 oz Gatorade canister making ~9 gal, not the 51 oz / 6 gal this assumed. Unit changed to match the real product.</t>
  </si>
  <si>
    <t xml:space="preserve">Electrolyte mix — $/canister</t>
  </si>
  <si>
    <t xml:space="preserve">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</si>
  <si>
    <t xml:space="preserve">Tangerine juice — oz/bottle</t>
  </si>
  <si>
    <t xml:space="preserve">Repriced 2 Aug 2026. Perricone Farms tangerine juice ships as 2 x 59 oz at Costco, so the bottle is 59 oz not 52.</t>
  </si>
  <si>
    <t xml:space="preserve">Tangerine juice — $/bottle</t>
  </si>
  <si>
    <t xml:space="preserve">Repriced 2 Aug 2026. Perricone Farms 2 x 59 oz, Costco $9.59 = $4.80/bottle ($0.081/oz). STOCK RISK: in stock at only ~63% of warehouses. If unavailable, OJ plus a dose of tangerine/mandarin syrup — straight OJ alone reads noticeably different.</t>
  </si>
  <si>
    <t xml:space="preserve">Fruit purée squeeze bottle — oz</t>
  </si>
  <si>
    <t xml:space="preserve">Passion fruit purée — $/bottle</t>
  </si>
  <si>
    <t xml:space="preserve">Repriced 2 Aug 2026. Reàl Passion Fruit Purée Infused Syrup, 16.9 fl oz, WebstaurantStore: $9.59 single, $38.99 per case of 6 = $6.50/bottle. Buy the case — you need several.</t>
  </si>
  <si>
    <t xml:space="preserve">Pineapple purée — $/bottle</t>
  </si>
  <si>
    <t xml:space="preserve">Repriced 2 Aug 2026. Reàl Pineapple, 16.9 fl oz, WebstaurantStore $43.49 per case of 6 = $7.25. No longer an estimate.</t>
  </si>
  <si>
    <t xml:space="preserve">KOMBUCHA MULE BUILD — extras itemized</t>
  </si>
  <si>
    <t xml:space="preserve">Ginger beer — oz/can</t>
  </si>
  <si>
    <t xml:space="preserve">12oz can/bottle.</t>
  </si>
  <si>
    <t xml:space="preserve">Ginger beer — $/can</t>
  </si>
  <si>
    <t xml:space="preserve">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</si>
  <si>
    <t xml:space="preserve">Kombucha Mule — simple syrup oz/serving — RETIRED (agave, B131)</t>
  </si>
  <si>
    <t xml:space="preserve">Zeroed when agave replaced the sugar in the SCOBY Mule build. Set back above 0 to revive it.</t>
  </si>
  <si>
    <t xml:space="preserve">Lemon — juice yield oz/lemon</t>
  </si>
  <si>
    <t xml:space="preserve">~1.5oz juice from an average lemon.</t>
  </si>
  <si>
    <t xml:space="preserve">Lemon — $/each</t>
  </si>
  <si>
    <t xml:space="preserve">Repriced 2 Aug 2026. Costco lemons 5 lb $4.49 current / $6.52 avg, ~20-23 per bag.</t>
  </si>
  <si>
    <t xml:space="preserve">MICHELADA &amp; TANG DYNASTY BUILDS — extras itemized</t>
  </si>
  <si>
    <t xml:space="preserve">Clamato — oz/bottle</t>
  </si>
  <si>
    <t xml:space="preserve">Large bottle.</t>
  </si>
  <si>
    <t xml:space="preserve">Clamato — $/bottle</t>
  </si>
  <si>
    <t xml:space="preserve">Repriced 2 Aug 2026. Clamato 2 x 64 oz, Costco warehouse $5.99-6.49. Buy in warehouse — Costco.com lists $10.99 for the same pack.</t>
  </si>
  <si>
    <t xml:space="preserve">Michelada — hot sauce oz/serving — RETIRED 18 Aug 2026</t>
  </si>
  <si>
    <t xml:space="preserve">RETIRED — Michelada dropped separate hot sauce when it moved to Tres Agaves Bloody Mary Mix (already spiced). This was hot sauce's only use in the model, so Other Consumables row 41 and Purchase List row 33 now correctly read $0.</t>
  </si>
  <si>
    <t xml:space="preserve">Hot sauce — oz/bottle</t>
  </si>
  <si>
    <t xml:space="preserve">Hot sauce — $/bottle</t>
  </si>
  <si>
    <t xml:space="preserve">Repriced 2 Aug 2026. Valentina 12.5 oz, Walmart $1.68. Tapatío 10 oz is $3.14 — Valentina is the buy.</t>
  </si>
  <si>
    <t xml:space="preserve">Tajin rim — oz/serving</t>
  </si>
  <si>
    <t xml:space="preserve">~2g per rim. Applies to every rimmed drink: Michelada, A Ginger's Pickle, Catboy Piss and Shirley Temple of Doom (Other Consumables B42).</t>
  </si>
  <si>
    <t xml:space="preserve">Tajin — oz/shaker</t>
  </si>
  <si>
    <t xml:space="preserve">Tajin — $/shaker</t>
  </si>
  <si>
    <t xml:space="preserve">Repriced 2 Aug 2026. Tajín Clásico 5 oz, Walmart $4.68.</t>
  </si>
  <si>
    <t xml:space="preserve">Lime — juice yield oz/lime</t>
  </si>
  <si>
    <t xml:space="preserve">~1oz juice from an average lime.</t>
  </si>
  <si>
    <t xml:space="preserve">Lime — $/each</t>
  </si>
  <si>
    <t xml:space="preserve">Repriced 2 Aug 2026. Costco limes 3 lb $3.49 current / $5.17 avg, ~16 per bag. Lime prices are up 6.1% over 60 days. WORTH CHASING: a 40 lb / 200-lime case is ~$42 at Chef'Store Reno = $0.21 each, saving roughly $15 across the ~113 limes. Costco stocks the case at only 23 warehouses.</t>
  </si>
  <si>
    <t xml:space="preserve">Tang Dynasty — lime squeeze oz/serving</t>
  </si>
  <si>
    <t xml:space="preserve">The Recipes row 3 ingredient slots are full (tangerine juice + passion fruit puree), so the lime squeeze is sized from this input instead.</t>
  </si>
  <si>
    <t xml:space="preserve">DAILY JUG — derived from B68</t>
  </si>
  <si>
    <t xml:space="preserve">Daily jug size (oz)</t>
  </si>
  <si>
    <t xml:space="preserve">1 L = 33.814 fl oz.</t>
  </si>
  <si>
    <t xml:space="preserve">Jug serving size (oz)</t>
  </si>
  <si>
    <t xml:space="preserve">Pour size for the nightly special.</t>
  </si>
  <si>
    <t xml:space="preserve">Servings per jug</t>
  </si>
  <si>
    <t xml:space="preserve">Drives 'Jug Recipes' E4:E15 — one batch per night Sun-Sat, except Wednesday (E7), which is a 3-jug/99-serving batch for the next-door party overflow.</t>
  </si>
  <si>
    <t xml:space="preserve">Catboy Café — passion fruit purée oz/serving</t>
  </si>
  <si>
    <t xml:space="preserve">Added to the built Catboy Café Green Tea. Orange syrup (0.5oz) and sakura syrup (0.5oz) are per-serving amounts on Recipes row 13 (Syrup A / Syrup B). OJ was dropped from the build 21 Aug 2026.</t>
  </si>
  <si>
    <t xml:space="preserve">POUR SIZING</t>
  </si>
  <si>
    <t xml:space="preserve">Pour size (oz)</t>
  </si>
  <si>
    <t xml:space="preserve">Playa pours — smaller cup, more servings per keg, less waste when someone wanders off.</t>
  </si>
  <si>
    <t xml:space="preserve">Loss allowance (oz/unit) — ZEROED</t>
  </si>
  <si>
    <t xml:space="preserve">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</si>
  <si>
    <t xml:space="preserve">Dried hibiscus — oz/serving (Red Flag)</t>
  </si>
  <si>
    <t xml:space="preserve">~2.8 oz of dried flowers per 10 L jug. Steep hot and cool, or cold-steep overnight.</t>
  </si>
  <si>
    <t xml:space="preserve">Dried hibiscus — oz/bag</t>
  </si>
  <si>
    <t xml:space="preserve">Dried hibiscus — $/lb bag</t>
  </si>
  <si>
    <t xml:space="preserve">Repriced 2 Aug 2026. Sabor Orgánico dried hibiscus 1 lb, Amazon $14.95.</t>
  </si>
  <si>
    <t xml:space="preserve">SCOBY-DEW — ADDED INGREDIENTS</t>
  </si>
  <si>
    <t xml:space="preserve">Apple cider vinegar — oz/serving</t>
  </si>
  <si>
    <t xml:space="preserve">Raw/unfiltered. Sharp — start here and taste.</t>
  </si>
  <si>
    <t xml:space="preserve">Apple cider vinegar — oz/bottle</t>
  </si>
  <si>
    <t xml:space="preserve">Apple cider vinegar — $/bottle</t>
  </si>
  <si>
    <t xml:space="preserve">Repriced 2 Aug 2026. Bragg Organic ACV with the Mother, 32 oz, Walmart $6.17.</t>
  </si>
  <si>
    <t xml:space="preserve">Agave syrup — oz/serving</t>
  </si>
  <si>
    <t xml:space="preserve">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</si>
  <si>
    <t xml:space="preserve">Agave syrup — oz/bottle</t>
  </si>
  <si>
    <t xml:space="preserve">Agave syrup — $/bottle</t>
  </si>
  <si>
    <t xml:space="preserve">CAMP DRINKS (not bar service)</t>
  </si>
  <si>
    <t xml:space="preserve">Winter melon tea — gallons to make</t>
  </si>
  <si>
    <t xml:space="preserve">Sour plum drink; smoked plum + hawthorn + licorice.</t>
  </si>
  <si>
    <t xml:space="preserve">Winter melon tea — gallons per block</t>
  </si>
  <si>
    <t xml:space="preserve">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</si>
  <si>
    <t xml:space="preserve">Winter melon tea — $/block</t>
  </si>
  <si>
    <t xml:space="preserve">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</si>
  <si>
    <t xml:space="preserve">Mugicha — gallons to make</t>
  </si>
  <si>
    <t xml:space="preserve">Roasted barley tea, served ice cold, unsweetened.</t>
  </si>
  <si>
    <t xml:space="preserve">Mugicha — teabags per gallon</t>
  </si>
  <si>
    <t xml:space="preserve">~1 bag per litre.</t>
  </si>
  <si>
    <t xml:space="preserve">Mugicha — teabags per box</t>
  </si>
  <si>
    <t xml:space="preserve">Mugicha — $/box</t>
  </si>
  <si>
    <t xml:space="preserve">Repriced 2 Aug 2026. Ito En mugicha 54 sachets, H Mart $5.99 / Yami $5.99-7.99.</t>
  </si>
  <si>
    <t xml:space="preserve">Lapsang souchong — oz/serving (dry leaf)</t>
  </si>
  <si>
    <t xml:space="preserve">~2 oz of dry leaf per 10 L jug. Steep STRONG then cut with lemonade.</t>
  </si>
  <si>
    <t xml:space="preserve">Lapsang souchong — oz/bag</t>
  </si>
  <si>
    <t xml:space="preserve">Lapsang souchong — $/bag</t>
  </si>
  <si>
    <t xml:space="preserve">Repriced 2 Aug 2026. Upton Tea Formosa lapsang ~$10/113 g; English Tea Store 4 oz $12.99.</t>
  </si>
  <si>
    <t xml:space="preserve">Clear Mind kombucha — old keg $ (BASELINE ONLY)</t>
  </si>
  <si>
    <t xml:space="preserve">Brew Dr. Clear Mind — rosemary, mint, sage, green tea. Feeds the built Clear Cache.</t>
  </si>
  <si>
    <t xml:space="preserve">CATBOY SNOT — SATURDAY BUILD (Recipes row 16)</t>
  </si>
  <si>
    <t xml:space="preserve">Aloe vera juice — oz/serving</t>
  </si>
  <si>
    <t xml:space="preserve">Spooned in WITH the pulp cubes — the cubes are the whole point. Buy DRINKING aloe (inner-fillet, decolorized: OKF Aloe Vera King, Grace, Alo). Whole-leaf/supplement aloe contains aloin and is a laxative — wrong product, bad day. DOSED DOWN 21 Aug 2026 — cut from 2 oz to 1.5 oz.</t>
  </si>
  <si>
    <t xml:space="preserve">Aloe vera juice — oz/bottle</t>
  </si>
  <si>
    <t xml:space="preserve">1.5 L bottle. Shelf-stable unopened; refrigerate nothing until it is opened.</t>
  </si>
  <si>
    <t xml:space="preserve">Aloe vera juice — $/bottle</t>
  </si>
  <si>
    <t xml:space="preserve">Repriced 2 Aug 2026. OKF Aloe Vera King 1.5 L, Walmart $5.26, H Mart $2.99. Confirmed the correct product: inner-fillet drinking aloe with gel cubes. OKF also sell a PULP-FREE line — do not buy that one, the cubes are the point.</t>
  </si>
  <si>
    <t xml:space="preserve">Basil seeds (sabja) — oz/serving — OPTIONAL</t>
  </si>
  <si>
    <t xml:space="preserve">ZEROED 19 Aug 2026 — dropped from the plan. The aloe pulp already carries the texture in Catboy Snot, and Catboy Piss doesn't use it at all. Purchase List line removed outright rather than kept as a permanent zero.</t>
  </si>
  <si>
    <t xml:space="preserve">Basil seeds — oz/bag</t>
  </si>
  <si>
    <t xml:space="preserve">100 g bag.</t>
  </si>
  <si>
    <t xml:space="preserve">Basil seeds — $/bag</t>
  </si>
  <si>
    <t xml:space="preserve">Repriced 2 Aug 2026. NY Spice Shop basil seeds — buy the 8 oz bag at $6.49, which is $2.86 per 100 g. Costed at $4 per 100 g with headroom.</t>
  </si>
  <si>
    <t xml:space="preserve">SHIRLEY VARIANTS (Recipes rows 17-18)</t>
  </si>
  <si>
    <t xml:space="preserve">Shirley Mule — lime squeeze oz/serving</t>
  </si>
  <si>
    <t xml:space="preserve">Recipes row 19's two ingredient slots are full (cherry syrup + ginger beer), so the lime squeeze is sized from this input instead — same pattern as B113 for Tang Dynasty.</t>
  </si>
  <si>
    <t xml:space="preserve">PARTIAL-CAN WASTE — the 12 oz can vs the 3-4 oz pour</t>
  </si>
  <si>
    <t xml:space="preserve">Usable fraction of an opened can</t>
  </si>
  <si>
    <t xml:space="preserve">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</si>
  <si>
    <t xml:space="preserve">ITALIAN SODAS — standing menu item, built to order</t>
  </si>
  <si>
    <t xml:space="preserve">Italian sodas — planned servings</t>
  </si>
  <si>
    <t xml:space="preserve">A real line on the board, not an afterthought. 120 over the week is ~17 a night — plausible for the drink you point at when someone says 'something not too sweet'. It is the cheapest serving on the bar: syrup plus soda water, no recipe, no prep.</t>
  </si>
  <si>
    <t xml:space="preserve">Italian soda — soda water oz/serving</t>
  </si>
  <si>
    <t xml:space="preserve">Over ice, in the standard 8 oz pour.</t>
  </si>
  <si>
    <t xml:space="preserve">Italian soda — syrup oz/serving</t>
  </si>
  <si>
    <t xml:space="preserve">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</si>
  <si>
    <t xml:space="preserve">2-LITRE BOTTLES — for jug batches only</t>
  </si>
  <si>
    <t xml:space="preserve">2 L bottle size (oz)</t>
  </si>
  <si>
    <t xml:space="preserve">2 litres = 67.6 fl oz.</t>
  </si>
  <si>
    <t xml:space="preserve">2 L bottle — $ each</t>
  </si>
  <si>
    <t xml:space="preserve">Repriced 2 Aug 2026. Mountain Dew 2 L, Walmart $2.78.</t>
  </si>
  <si>
    <t xml:space="preserve">STIEGL GRAPEFRUIT RADLER — pre-made shandy slot</t>
  </si>
  <si>
    <t xml:space="preserve">Radler — planned servings</t>
  </si>
  <si>
    <t xml:space="preserve">Fills the slot the built shandy would have. Zero labour: hand it over as a half pour on ice. NO GARNISH as of 10 Aug 2026 — the grapefruit wedge was dropped, which took 56 wedges off Purchase List row 30.</t>
  </si>
  <si>
    <t xml:space="preserve">Radler — can size (oz)</t>
  </si>
  <si>
    <t xml:space="preserve">500 ml Austrian can.</t>
  </si>
  <si>
    <t xml:space="preserve">Radler — servings per can (half pour)</t>
  </si>
  <si>
    <t xml:space="preserve">HALF POUR — 16.9 oz split into two ~8.4 oz servings, matching the house pour. At 2% ABV this is the most sessionable thing on the bar; a full can as one serving would be generous but halves the serving count.</t>
  </si>
  <si>
    <t xml:space="preserve">Radler — $ per 4-pack</t>
  </si>
  <si>
    <t xml:space="preserve">Total Wine $11.99, Binny's $7.99 on sale, Liquor World $15.99. Using $9.99. 4 x 16.9 oz cans.</t>
  </si>
  <si>
    <t xml:space="preserve">Red Bull — can size (oz)</t>
  </si>
  <si>
    <t xml:space="preserve">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</si>
  <si>
    <t xml:space="preserve">CAMP DRINKS — GREEN TEA</t>
  </si>
  <si>
    <t xml:space="preserve">Green tea — gallons to make</t>
  </si>
  <si>
    <t xml:space="preserve">Third camp iced tea, cold-steeped and served unsweetened.</t>
  </si>
  <si>
    <t xml:space="preserve">Green tea — teabags per gallon</t>
  </si>
  <si>
    <t xml:space="preserve">~1 bag per litre, same as the mugicha.</t>
  </si>
  <si>
    <t xml:space="preserve">Green tea — teabags per box</t>
  </si>
  <si>
    <t xml:space="preserve">Green tea — $/box</t>
  </si>
  <si>
    <t xml:space="preserve">Repriced 2 Aug 2026. Kirkland Japanese green tea 100-ct, Costco $11.99-13.49. (Lipton Classic 100-ct is $9.99 at WebstaurantStore if you want it cheaper.)</t>
  </si>
  <si>
    <t xml:space="preserve">CAMP DRINKS — CANNED</t>
  </si>
  <si>
    <t xml:space="preserve">Celsius — cans</t>
  </si>
  <si>
    <t xml:space="preserve">Camper stock, not bar service. Costco 12-packs ~$20 (estimate).</t>
  </si>
  <si>
    <t xml:space="preserve">Celsius — cans per pack</t>
  </si>
  <si>
    <t xml:space="preserve">Repriced 2 Aug 2026. Costco does not sell a 12-pack — the warehouse SKU is an 18-count.</t>
  </si>
  <si>
    <t xml:space="preserve">Celsius — $/pack</t>
  </si>
  <si>
    <t xml:space="preserve">Repriced 2 Aug 2026. Celsius 18-count, Costco ~$24 = $1.33/can. The old $20/12-pack was grocery pricing ($19-20 at Walmart), which is the wrong shop for this trip.</t>
  </si>
  <si>
    <t xml:space="preserve">White Claw (or equivalent) — cans</t>
  </si>
  <si>
    <t xml:space="preserve">Or any equivalent hard seltzer. 12-packs ~$18 (estimate).</t>
  </si>
  <si>
    <t xml:space="preserve">White Claw — cans per pack</t>
  </si>
  <si>
    <t xml:space="preserve">Repriced 2 Aug 2026. Buy the 24-pack. The Costco 12-pack SKU is nearly gone (in stock at 1 of 7 reporting warehouses) and is dearer per can anyway.</t>
  </si>
  <si>
    <t xml:space="preserve">White Claw — $/pack</t>
  </si>
  <si>
    <t xml:space="preserve">Repriced 2 Aug 2026. White Claw 24-pack, Costco $28.74 avg, $30.49-31.59 at CA warehouses = $1.27/can vs $1.42 for the 12-pack. Grocery (Walmart $19.00, Albertsons $18.99 per 12) is the expensive path.</t>
  </si>
  <si>
    <t xml:space="preserve">Spindrift — cans</t>
  </si>
  <si>
    <t xml:space="preserve">Sparkling water with real juice. 24-packs ~$20 (estimate).</t>
  </si>
  <si>
    <t xml:space="preserve">Spindrift — cans per pack</t>
  </si>
  <si>
    <t xml:space="preserve">Repriced 2 Aug 2026. Costco's Spindrift SKU is a 30-count variety (10 lemon / 10 lime / 10 grapefruit), not 24.</t>
  </si>
  <si>
    <t xml:space="preserve">Spindrift — $/pack</t>
  </si>
  <si>
    <t xml:space="preserve">Repriced 2 Aug 2026. Spindrift 30-count, Costco $21.49 regular, $19.22 avg, as low as $14.49 = $0.64/can vs the $0.833 this used to assume.</t>
  </si>
  <si>
    <t xml:space="preserve">CAMP TANGERINE JUICE — rationed treat</t>
  </si>
  <si>
    <t xml:space="preserve">Tangerine juice — camp ration (quarts)</t>
  </si>
  <si>
    <t xml:space="preserve">Four quarts is 128 oz — roughly 13 servings at 10 oz, or 16 at the house 8 oz pour. Against eight days that is not a supply, it is a treat. Raise it if you want it to actually last.</t>
  </si>
  <si>
    <t xml:space="preserve">Tangerine juice — oz per quart</t>
  </si>
  <si>
    <t xml:space="preserve">A US quart is 32 fl oz.</t>
  </si>
  <si>
    <t xml:space="preserve">Tangerine juice — $ per quart</t>
  </si>
  <si>
    <t xml:space="preserve">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</si>
  <si>
    <t xml:space="preserve">CAMP DRINKS — GINGER BEER (camper stock)</t>
  </si>
  <si>
    <t xml:space="preserve">Ginger beer (camp) — cans</t>
  </si>
  <si>
    <t xml:space="preserve">Camper stock in the cooler, NOT bar service. This is on top of the cans the Kombucha Mule build consumes ('Other Consumables' row 36) and on top of the 24-can mixer buffer on 'Bar Add-Ons' row 9 — three separate pools, three separate lines, so nobody raids the bar's stock.</t>
  </si>
  <si>
    <t xml:space="preserve">Ginger beer (camp) — cans per pack</t>
  </si>
  <si>
    <t xml:space="preserve">Bought by the case for camp stock. Drop to 4 if only 4-packs (Bundaberg) are on the shelf — the pack count rounds up either way.</t>
  </si>
  <si>
    <t xml:space="preserve">Ginger beer (camp) — $/pack</t>
  </si>
  <si>
    <t xml:space="preserve">DERIVED — pack size x the ginger beer can price already in the model (B97, $1.25/can). Kept derived so there is one ginger beer price, not two.</t>
  </si>
  <si>
    <t xml:space="preserve">CAMP DRINKS — COFFEE CREAMER</t>
  </si>
  <si>
    <t xml:space="preserve">Coffee creamer — units (DAIRY PORTION ONLY)</t>
  </si>
  <si>
    <t xml:space="preserve">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</si>
  <si>
    <t xml:space="preserve">Coffee creamer — $/unit</t>
  </si>
  <si>
    <t xml:space="preserve">RESCOPED 18 Aug 2026 to dairy-only pricing (was $4.15 blended across dairy+non-dairy). Coffee-mate 32 oz $3.79 at Costco — see the original note this cell already carried.</t>
  </si>
  <si>
    <t xml:space="preserve">PICKLE BRINE — A Ginger's Pickle + brine shots</t>
  </si>
  <si>
    <t xml:space="preserve">Pickle juice — oz/serving — SUPERSEDED, now derived</t>
  </si>
  <si>
    <t xml:space="preserve">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</si>
  <si>
    <t xml:space="preserve">Pickle brine shots — planned</t>
  </si>
  <si>
    <t xml:space="preserve">Brine shots are a standing menu-board item (Menu Board / Service Availability), and they drink the SAME jars as the dirty soda. They were costed at zero and sized at nothing. ~4 a day over the week; change this and the jar count follows.</t>
  </si>
  <si>
    <t xml:space="preserve">Pickle brine shot — oz each</t>
  </si>
  <si>
    <t xml:space="preserve">A shot glass. Three shots drink more brine than six dirty sodas do.</t>
  </si>
  <si>
    <t xml:space="preserve">Pickle brine — usable oz per 32oz jar</t>
  </si>
  <si>
    <t xml:space="preserve">Repriced 2 Aug 2026. RESTRUCTURED to a 128 oz GALLON spear jar, which drains ~110-120 oz of brine. Six 32 oz jars yielded ~84 oz for twice the money.</t>
  </si>
  <si>
    <t xml:space="preserve">Pickles — $/jar</t>
  </si>
  <si>
    <t xml:space="preserve">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</si>
  <si>
    <t xml:space="preserve">WATERMELON JUICE — Watermelon Sugar High (replaces the watermelon syrup)</t>
  </si>
  <si>
    <t xml:space="preserve">Watermelon juice — oz/carton</t>
  </si>
  <si>
    <t xml:space="preserve">A 1 L carton. 100% watermelon juice, not a cocktail mix and not the whole melons. If Reno only has the 59 oz bottles, put 59 here and the shelf price on B219 — the buy quantity re-rounds itself.</t>
  </si>
  <si>
    <t xml:space="preserve">Watermelon juice — $/carton</t>
  </si>
  <si>
    <t xml:space="preserve">ESTIMATE, not a checked listing — the only line in this workbook that is. See the note at the bottom of ‘Ingredient Pricing’. 1 L of 100% watermelon juice generally sits at $4-6.</t>
  </si>
  <si>
    <t xml:space="preserve">TEQUILA BUILDS — Rawhide (Ranch Water) + Localhost (Margarita)</t>
  </si>
  <si>
    <t xml:space="preserve">Liquor uptake — tequila-forward builds</t>
  </si>
  <si>
    <t xml:space="preserve">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</si>
  <si>
    <t xml:space="preserve">Localhost — dried hibiscus oz/serving — SUPERSEDED, drink no longer uses it</t>
  </si>
  <si>
    <t xml:space="preserve">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</si>
  <si>
    <t xml:space="preserve">Localhost — agave oz/serving (OPTIONAL, to taste)</t>
  </si>
  <si>
    <t xml:space="preserve">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</si>
  <si>
    <t xml:space="preserve">LEMON — THE FRESH / BOTTLED SPLIT</t>
  </si>
  <si>
    <t xml:space="preserve">Lemon juice (bottled) — oz/bottle</t>
  </si>
  <si>
    <t xml:space="preserve">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</si>
  <si>
    <t xml:space="preserve">Lemon juice (bottled) — $/bottle</t>
  </si>
  <si>
    <t xml:space="preserve">***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</si>
  <si>
    <t xml:space="preserve">GUAVA PURÉE — OPTIONAL, NOT IN ANY RECIPE YET</t>
  </si>
  <si>
    <t xml:space="preserve">Guava purée — bottles to buy — SUPERSEDED, now derived</t>
  </si>
  <si>
    <t xml:space="preserve">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</si>
  <si>
    <t xml:space="preserve">Guava Syrup (Torani) — $/bottle</t>
  </si>
  <si>
    <t xml:space="preserve">***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</si>
  <si>
    <t xml:space="preserve">MIXER FORMAT — 1 L BOTTLES (bar service)</t>
  </si>
  <si>
    <t xml:space="preserve">1 L bottle size (oz)</t>
  </si>
  <si>
    <t xml:space="preserve">1 litre = 33.814 fl oz. The bar-service format for soda water and tonic.</t>
  </si>
  <si>
    <t xml:space="preserve">Soda water — $/1 L bottle</t>
  </si>
  <si>
    <t xml:space="preserve">***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</si>
  <si>
    <t xml:space="preserve">Tonic water — $/1 L bottle</t>
  </si>
  <si>
    <t xml:space="preserve">*** ESTIMATE, NOT A CHECKED LISTING. *** Schweppes / Canada Dry 1 L tonic typically $1.29-1.99. Small line (9 bottles) so the exposure is about $5 either way.</t>
  </si>
  <si>
    <t xml:space="preserve">1 L bottle — usable fraction</t>
  </si>
  <si>
    <t xml:space="preserve">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</si>
  <si>
    <t xml:space="preserve">PALOMA MIXER — Guavascript build</t>
  </si>
  <si>
    <t xml:space="preserve">Paloma mixer — oz/bottle</t>
  </si>
  <si>
    <t xml:space="preserve">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</si>
  <si>
    <t xml:space="preserve">Paloma mixer — $/bottle</t>
  </si>
  <si>
    <t xml:space="preserve">UPDATED 18 Aug 2026 — real cart price $32.49 for the 2-pack = $16.25/bottle.</t>
  </si>
  <si>
    <t xml:space="preserve">YUZU JUICE — Clear Cache</t>
  </si>
  <si>
    <t xml:space="preserve">Yuzu juice — oz/bottle</t>
  </si>
  <si>
    <t xml:space="preserve">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</si>
  <si>
    <t xml:space="preserve">Yuzu juice — $/bottle</t>
  </si>
  <si>
    <t xml:space="preserve">$1.54/oz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</si>
  <si>
    <t xml:space="preserve">MARGARITA MIXER — Localhost build</t>
  </si>
  <si>
    <t xml:space="preserve">Margarita mixer — oz/bottle</t>
  </si>
  <si>
    <t xml:space="preserve">REVERTED 18 Aug 2026 — same fix as the Paloma mix (B241): the real cart shows "Tres Agaves Organic Lime Margarita Mix ... 33.8 Fl Oz (Pack of 2)", 1 L format.</t>
  </si>
  <si>
    <t xml:space="preserve">Margarita mixer — $/bottle</t>
  </si>
  <si>
    <t xml:space="preserve">UPDATED 18 Aug 2026 — real cart price $32.48 for the 2-pack = $16.24/bottle.</t>
  </si>
  <si>
    <t xml:space="preserve">STANDING ICED TEA — "Daily Tea", the LESS SWEET rotation</t>
  </si>
  <si>
    <t xml:space="preserve">Daily Tea — gallons on hand at a time</t>
  </si>
  <si>
    <t xml:space="preserve">Deliberately small. Brewing big batches is the pain in playa conditions, so this is sized to be re-steeped every day or two rather than made once and babysat. ~24 servings at the 8 oz house pour. Cold-steep overnight alongside whatever the jug needs — no boiling, no fuel.</t>
  </si>
  <si>
    <t xml:space="preserve">Daily Tea — batches across the week</t>
  </si>
  <si>
    <t xml:space="preserve">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</si>
  <si>
    <t xml:space="preserve">Daily Tea — extra cost</t>
  </si>
  <si>
    <t xml:space="preserve">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</si>
  <si>
    <t xml:space="preserve">CAMP DRINKS — MOUNTAIN DEW (camper stock)</t>
  </si>
  <si>
    <t xml:space="preserve">Mountain Dew (camp) — cans</t>
  </si>
  <si>
    <t xml:space="preserve">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</si>
  <si>
    <t xml:space="preserve">Mountain Dew (camp) — cans per pack</t>
  </si>
  <si>
    <t xml:space="preserve">12-pack. Drop to 24 if that is what the shop has; the pack count rounds up either way.</t>
  </si>
  <si>
    <t xml:space="preserve">Mountain Dew (camp) — $/pack</t>
  </si>
  <si>
    <t xml:space="preserve">DERIVED — pack size x the per-can base-soda price already in the model (B16/B6, $16 per 35-can case = $0.457/can). Kept derived so there is one soda price, not two, exactly as the ginger beer does on B201.</t>
  </si>
  <si>
    <t xml:space="preserve">GREEN TEA — BOTTLED vs COLD-STEEPED SPLIT</t>
  </si>
  <si>
    <t xml:space="preserve">Green tea — oz covered by cold-steeped tea (not bottled)</t>
  </si>
  <si>
    <t xml:space="preserve">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</si>
  <si>
    <t xml:space="preserve">Boudan Melon Syrup — oz/bottle</t>
  </si>
  <si>
    <t xml:space="preserve">ADDED 18 Aug 2026 — Marjan Boudan Melon Syrup, confirmed real and on Amazon (ASIN B005QBH1QY). Replaces generic Torani green melon, which isn't sold on Amazon at all.</t>
  </si>
  <si>
    <t xml:space="preserve">Boudan Melon Syrup — $/bottle</t>
  </si>
  <si>
    <t xml:space="preserve">*** UNCHECKED ESTIMATE — Amazon's price wasn't readable via search. *** Comparable imported syrup bottles this size typically run $8-14; using $10 as a midpoint. Replace with the checkout price.</t>
  </si>
  <si>
    <t xml:space="preserve">Bloody Mary Mix — oz/bottle</t>
  </si>
  <si>
    <t xml:space="preserve">ADDED 18 Aug 2026. Tres Agaves Organic Bloody Mary Mix, 750 ml, confirmed real and on Amazon.</t>
  </si>
  <si>
    <t xml:space="preserve">Bloody Mary Mix — $/bottle</t>
  </si>
  <si>
    <t xml:space="preserve">*** UNCHECKED ESTIMATE — Amazon's price wasn't readable via search. *** Using the same $10/bottle placeholder as the Paloma and Margarita mixes (B242/B250) — same brand, same 750 ml format. Replace with the checkout price; it likely ships 2-pack like its siblings.</t>
  </si>
  <si>
    <t xml:space="preserve">Guava Syrup (Torani) — oz/bottle</t>
  </si>
  <si>
    <t xml:space="preserve">ADDED 19 Aug 2026. Torani 750ml format, same bottle size as the other Torani flavors (Assumptions B8).</t>
  </si>
  <si>
    <t xml:space="preserve">SECRET PARTY — off-menu, camp-mate request (21 Aug 2026)</t>
  </si>
  <si>
    <t xml:space="preserve">Vodka — handles</t>
  </si>
  <si>
    <t xml:space="preserve">Off-menu ask from a camp mate for a private/secret party — separate from the Saturday Catboy Café reveal. Keep it off the standing board and the Menu Board; a separate menu is being built just for this event (Service Availability section 6, Start Here hard rule).</t>
  </si>
  <si>
    <t xml:space="preserve">Vodka — oz/handle (1.75 L)</t>
  </si>
  <si>
    <t xml:space="preserve">1.75 L handle. 1 L = 33.814 fl oz, same conversion as B115.</t>
  </si>
  <si>
    <t xml:space="preserve">Vodka — $/handle</t>
  </si>
  <si>
    <t xml:space="preserve">UNCHECKED ESTIMATE — typical 1.75 L well vodka (Svedka/Smirnoff tier). Replace with the receipt price once bought.</t>
  </si>
  <si>
    <t xml:space="preserve">Vodka — total oz on hand</t>
  </si>
  <si>
    <t xml:space="preserve">Vodka — mandatory pour uptake (this block only)</t>
  </si>
  <si>
    <t xml:space="preserve">Same pattern as B222 for the tequila-forward builds — vodka is the entire point of this off-menu block, so it sizes at 100%, not the 35% on B39.</t>
  </si>
  <si>
    <t xml:space="preserve">Vodka — servings capacity at standard pour</t>
  </si>
  <si>
    <t xml:space="preserve">B40 is the standard 1.5 oz pour used everywhere else on the bar. This is the ceiling if every ounce gets poured — actual buy-sizing below uses the split (B279:B284), not this number directly.</t>
  </si>
  <si>
    <t xml:space="preserve">Split — Vodka shot (straight, no mixer)</t>
  </si>
  <si>
    <t xml:space="preserve">Split — Vodka Cranberry</t>
  </si>
  <si>
    <t xml:space="preserve">Split — Screwdriver (Vodka OJ)</t>
  </si>
  <si>
    <t xml:space="preserve">Split — Vodka Red Bull</t>
  </si>
  <si>
    <t xml:space="preserve">Split — Vodka Lemonade</t>
  </si>
  <si>
    <t xml:space="preserve">Split — Vodka Soda</t>
  </si>
  <si>
    <t xml:space="preserve">Splits are your 21 Aug 2026 call, applied against the full 10-handle capacity (B278).</t>
  </si>
  <si>
    <t xml:space="preserve">Split — check (should read 100%)</t>
  </si>
  <si>
    <t xml:space="preserve">Servings — Vodka shot</t>
  </si>
  <si>
    <t xml:space="preserve">Servings — Vodka Cranberry</t>
  </si>
  <si>
    <t xml:space="preserve">Servings — Screwdriver</t>
  </si>
  <si>
    <t xml:space="preserve">Servings — Vodka Red Bull</t>
  </si>
  <si>
    <t xml:space="preserve">Servings — Vodka Lemonade</t>
  </si>
  <si>
    <t xml:space="preserve">Servings — Vodka Soda</t>
  </si>
  <si>
    <t xml:space="preserve">NOTE — Red Bull / Lemonade / Tonic draw</t>
  </si>
  <si>
    <t xml:space="preserve">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</si>
  <si>
    <t xml:space="preserve">Cranberry juice — oz/serving (Vodka Cranberry)</t>
  </si>
  <si>
    <t xml:space="preserve">Standard 4oz mixer pour, same ratio as the house Screwdriver-style builds (mixer + 1.5oz liquor).</t>
  </si>
  <si>
    <t xml:space="preserve">OJ — oz/serving (Screwdriver)</t>
  </si>
  <si>
    <t xml:space="preserve">Same 4oz mixer convention; priced off the existing OJ carton line (B69/B70) rather than a new SKU.</t>
  </si>
  <si>
    <t xml:space="preserve">Cranberry juice — oz/bottle</t>
  </si>
  <si>
    <t xml:space="preserve">UNCHECKED ESTIMATE — standard 64oz cranberry juice cocktail jug (e.g. Ocean Spray). Confirm at checkout.</t>
  </si>
  <si>
    <t xml:space="preserve">Cranberry juice — $/bottle</t>
  </si>
  <si>
    <t xml:space="preserve">UNCHECKED ESTIMATE — ~$5 for a 64oz cranberry juice cocktail jug. Replace with the receipt price once bought.</t>
  </si>
  <si>
    <t xml:space="preserve">Cranberry juice — total oz needed</t>
  </si>
  <si>
    <t xml:space="preserve">OJ — total oz needed (Secret Party)</t>
  </si>
  <si>
    <t xml:space="preserve">Lemonade — oz/serving (Vodka Lemonade)</t>
  </si>
  <si>
    <t xml:space="preserve">Same 4oz mixer convention as the other Secret Party pours.</t>
  </si>
  <si>
    <t xml:space="preserve">Lemonade — total oz needed (Secret Party)</t>
  </si>
  <si>
    <t xml:space="preserve">Folded directly into Other Consumables B19's Lemonade formula, so it flows through to the existing Kirkland 96oz bottle purchase (Purchase List row 29) instead of a separate line.</t>
  </si>
  <si>
    <t xml:space="preserve">Red Bull — oz/serving (Vodka Red Bull)</t>
  </si>
  <si>
    <t xml:space="preserve">Red Bull — total oz needed (Secret Party)</t>
  </si>
  <si>
    <t xml:space="preserve">Red Bull — oz/can</t>
  </si>
  <si>
    <t xml:space="preserve">Red Bull — extra cans needed (Secret Party, w/ 15% buffer)</t>
  </si>
  <si>
    <t xml:space="preserve">Red Bull — extra 24-packs to buy (Secret Party)</t>
  </si>
  <si>
    <t xml:space="preserve">Rounded up to a full case since Red Bull is bought in 24-packs — see Bar Add-Ons row 14.</t>
  </si>
  <si>
    <t xml:space="preserve">Ingredient Pricing — real Costco / Nevada prices, July 2026</t>
  </si>
  <si>
    <t xml:space="preserve">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</si>
  <si>
    <t xml:space="preserve">PRICES CHANGED</t>
  </si>
  <si>
    <t xml:space="preserve">Ingredient</t>
  </si>
  <si>
    <t xml:space="preserve">Assumptions cell</t>
  </si>
  <si>
    <t xml:space="preserve">Was</t>
  </si>
  <si>
    <t xml:space="preserve">Now</t>
  </si>
  <si>
    <t xml:space="preserve">Change</t>
  </si>
  <si>
    <t xml:space="preserve">Source / basis</t>
  </si>
  <si>
    <t xml:space="preserve">B6</t>
  </si>
  <si>
    <t xml:space="preserve">cans/case</t>
  </si>
  <si>
    <t xml:space="preserve">Costco does not sell soda in 24s — the warehouse pack is 35 x 12 oz. Changing this alone cuts the case count, and it feeds the soda-water line too.</t>
  </si>
  <si>
    <t xml:space="preserve">Base soda — $/case (35)</t>
  </si>
  <si>
    <t xml:space="preserve">B16</t>
  </si>
  <si>
    <t xml:space="preserve">$/case of 35</t>
  </si>
  <si>
    <t xml:space="preserve">Costco 35 x 12 oz, July 2026: Coca-Cola $14.49-18.19, Sprite $15.49-16.49, Dr Pepper $14.49-16.49. Using $16. Was $25 for a 24-pack ($1.04/can) — real is ~$0.46/can.</t>
  </si>
  <si>
    <t xml:space="preserve">Soda water — $/case (35)</t>
  </si>
  <si>
    <t xml:space="preserve">B22</t>
  </si>
  <si>
    <t xml:space="preserve">Kirkland Signature Sparkling Water 35 x 12 oz, $11.99-17.09. Variety pack is lime/lemon/grapefruit, which is fine-to-good in the Italian sodas and the Shirley variants. (It used to earn its place in Thirst Trap too; Fuzz Test dropped the soda water entirely.)</t>
  </si>
  <si>
    <t xml:space="preserve">Syrup — $/bottle (Torani 750 ml)</t>
  </si>
  <si>
    <t xml:space="preserve">B19</t>
  </si>
  <si>
    <t xml:space="preserve">$/750 ml bottle</t>
  </si>
  <si>
    <t xml:space="preserve">WebstaurantStore July 2026: $9.89 single, $7.99 in lots of 3, $6.58 by the case of 12. You need ~19 bottles across many flavors, so you cannot case-buy one SKU — lots of 3 per flavor is the realistic basis. Using $8.</t>
  </si>
  <si>
    <t xml:space="preserve">Cream of coconut — oz/bottle</t>
  </si>
  <si>
    <t xml:space="preserve">B9</t>
  </si>
  <si>
    <t xml:space="preserve">oz/bottle</t>
  </si>
  <si>
    <t xml:space="preserve">Coco Real squeeze bottle is 16.9 oz, not 22 oz.</t>
  </si>
  <si>
    <t xml:space="preserve">B20</t>
  </si>
  <si>
    <t xml:space="preserve">$/bottle</t>
  </si>
  <si>
    <t xml:space="preserve">Coco Real 16.9 oz plastic squeeze, Walmart $3.98 ($0.236/oz vs the old $0.318/oz). Coco Lopez 15 oz can is $4.24 but it is a can, not a squeeze — worse on a dusty bar.</t>
  </si>
  <si>
    <t xml:space="preserve">B91</t>
  </si>
  <si>
    <t xml:space="preserve">Reàl ships in a 16.9 oz squeeze bottle. (The model started at 22 oz; a brief detour through 30 oz culinary purée is now abandoned.)</t>
  </si>
  <si>
    <t xml:space="preserve">B92</t>
  </si>
  <si>
    <t xml:space="preserve">$/30 oz bottle</t>
  </si>
  <si>
    <t xml:space="preserve">Reàl Passion Fruit Puree Infused Syrup, 16.9 fl oz squeezable, Amazon $12.84 ($0.76/fl oz). The $12-per-22oz original was a placeholder for a product that does not exist; pure culinary purée turned out to be $36-54 per 30 oz. This lands in between and is the right format for a bar.</t>
  </si>
  <si>
    <t xml:space="preserve">B93</t>
  </si>
  <si>
    <t xml:space="preserve">ESTIMATE — Reàl pineapple in the same 16.9 oz squeeze, usually slightly cheaper. Qty 0 today.</t>
  </si>
  <si>
    <t xml:space="preserve">Orange juice — $/carton (64 oz)</t>
  </si>
  <si>
    <t xml:space="preserve">B70</t>
  </si>
  <si>
    <t xml:space="preserve">$/64 oz carton</t>
  </si>
  <si>
    <t xml:space="preserve">Barsotti 64 oz at Costco, $7.49-7.99.</t>
  </si>
  <si>
    <t xml:space="preserve">Pineapple juice — $/can (46 oz)</t>
  </si>
  <si>
    <t xml:space="preserve">B72</t>
  </si>
  <si>
    <t xml:space="preserve">$/46 oz can</t>
  </si>
  <si>
    <t xml:space="preserve">Dole 100% pineapple juice 3 x 46 oz, $8.69-9.99 → $3.33 per can.</t>
  </si>
  <si>
    <t xml:space="preserve">Clamato — $/bottle (64 oz)</t>
  </si>
  <si>
    <t xml:space="preserve">B104</t>
  </si>
  <si>
    <t xml:space="preserve">$/64 oz bottle</t>
  </si>
  <si>
    <t xml:space="preserve">Costco Clamato 2 x 64 oz, $4.97-6.49 → $2.87 per bottle.</t>
  </si>
  <si>
    <t xml:space="preserve">B80</t>
  </si>
  <si>
    <t xml:space="preserve">$/jar</t>
  </si>
  <si>
    <t xml:space="preserve">Luxardo 2 x 14.1 oz at Costco $14.97 → $7.49/jar. That is the GOOD cherry, not the neon supermarket kind, and it is cheaper than the placeholder was.</t>
  </si>
  <si>
    <t xml:space="preserve">B100</t>
  </si>
  <si>
    <t xml:space="preserve">$/each</t>
  </si>
  <si>
    <t xml:space="preserve">Costco 5 lb bag $4.49-5.39, roughly 20-25 lemons per bag → ~$0.22 each. Using $0.25.</t>
  </si>
  <si>
    <t xml:space="preserve">B112</t>
  </si>
  <si>
    <t xml:space="preserve">Costco 3 lb bag, ~12 limes. The 40 lb full case is $19.19 (~$0.10 each) — at 113 limes you are one third of a case, so the bag price is the honest basis. Using $0.30.</t>
  </si>
  <si>
    <t xml:space="preserve">B132</t>
  </si>
  <si>
    <t xml:space="preserve">Kirkland Organic Blue Agave ships as 2 x 36 oz.</t>
  </si>
  <si>
    <t xml:space="preserve">Agave syrup — $/bottle (36 oz)</t>
  </si>
  <si>
    <t xml:space="preserve">B133</t>
  </si>
  <si>
    <t xml:space="preserve">$/36 oz bottle</t>
  </si>
  <si>
    <t xml:space="preserve">Kirkland Organic Blue Agave 2 x 36 oz, $8.89-9.99 → $4.75 per 36 oz bottle. Cheaper per bottle AND 53% more syrup in it.</t>
  </si>
  <si>
    <t xml:space="preserve">THE PASSION FRUIT DECISION — settled (and cheaper again on the Aug 2026 recheck)</t>
  </si>
  <si>
    <t xml:space="preserve">Option</t>
  </si>
  <si>
    <t xml:space="preserve">$ / oz</t>
  </si>
  <si>
    <t xml:space="preserve">oz needed</t>
  </si>
  <si>
    <t xml:space="preserve">Cost</t>
  </si>
  <si>
    <t xml:space="preserve">vs the old assumption</t>
  </si>
  <si>
    <t xml:space="preserve">Placeholder the model started with</t>
  </si>
  <si>
    <t xml:space="preserve">$12 per 22 oz. Not a real product at that price.</t>
  </si>
  <si>
    <t xml:space="preserve">Reàl infused syrup, 16.9 oz squeeze — CHOSEN</t>
  </si>
  <si>
    <t xml:space="preserve">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</si>
  <si>
    <t xml:space="preserve">Alternatives rejected</t>
  </si>
  <si>
    <t xml:space="preserve">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</si>
  <si>
    <t xml:space="preserve">NOT REPRICED IN JULY — ALL CHECKED 2 AUG 2026, see the second-pass table below</t>
  </si>
  <si>
    <t xml:space="preserve">Still assumes</t>
  </si>
  <si>
    <t xml:space="preserve">Why it was left alone</t>
  </si>
  <si>
    <t xml:space="preserve">Horchata mix / rice-milk base</t>
  </si>
  <si>
    <t xml:space="preserve">B18</t>
  </si>
  <si>
    <t xml:space="preserve">RESOLVED. Mexquisita concentrate or Klass powder, ~$5. Was a pure guess at $12.</t>
  </si>
  <si>
    <t xml:space="preserve">Lemonade, ready-to-drink (96 oz bottle)</t>
  </si>
  <si>
    <t xml:space="preserve">B17</t>
  </si>
  <si>
    <t xml:space="preserve">REPLACED 14 Aug 2026 — was Country Time powder at $1.25/finished gallon. Now Kirkland Signature Organic Lemonade, 96 oz x 2-count, shelf-stable. *** PRICE IS AN UNCHECKED PLACEHOLDER ($4.50/bottle, $9.00/pack). *** Buying 2 packs / 4 bottles. Confirm at the warehouse.</t>
  </si>
  <si>
    <t xml:space="preserve">Lime juice, bottled (48 oz)</t>
  </si>
  <si>
    <t xml:space="preserve">B79</t>
  </si>
  <si>
    <t xml:space="preserve">Held at $4. ReaLime 48 oz may not be a US Costco SKU at all — see the open questions below.</t>
  </si>
  <si>
    <t xml:space="preserve">Blue spirulina</t>
  </si>
  <si>
    <t xml:space="preserve">B75</t>
  </si>
  <si>
    <t xml:space="preserve">Respecified to a 30 g jar at $16. The 50 g size barely exists.</t>
  </si>
  <si>
    <t xml:space="preserve">Hot sauce, Tajin, pickles, cinnamon</t>
  </si>
  <si>
    <t xml:space="preserve">B107 / B110</t>
  </si>
  <si>
    <t xml:space="preserve">Now itemized properly. Hot sauce fell to $1.75, Tajin rose to $4.68, pickles restructured to gallon jars.</t>
  </si>
  <si>
    <t xml:space="preserve">Ginger beer (12 oz cans)</t>
  </si>
  <si>
    <t xml:space="preserve">B97</t>
  </si>
  <si>
    <t xml:space="preserve">Raised to $1.70/can — an AVAILABILITY correction, not a price one. Costco Bundaberg is out at 93% of warehouses.</t>
  </si>
  <si>
    <t xml:space="preserve">Watermelon, mint, basil, sage</t>
  </si>
  <si>
    <t xml:space="preserve">B77</t>
  </si>
  <si>
    <t xml:space="preserve">Checked. Watermelon exact at $7; grapefruit and limes nudged up; mint is the problem — Costco carries no fresh soft herbs.</t>
  </si>
  <si>
    <t xml:space="preserve">SECOND PASS — AUGUST 2026 REPRICE (six parallel checks, 2 Aug 2026)</t>
  </si>
  <si>
    <t xml:space="preserve">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</si>
  <si>
    <t xml:space="preserve">Cell</t>
  </si>
  <si>
    <t xml:space="preserve">Direction</t>
  </si>
  <si>
    <t xml:space="preserve">Confidence</t>
  </si>
  <si>
    <t xml:space="preserve">Creamer, 32 oz</t>
  </si>
  <si>
    <t xml:space="preserve">B205</t>
  </si>
  <si>
    <t xml:space="preserve">-41%</t>
  </si>
  <si>
    <t xml:space="preserve">VERIFIED</t>
  </si>
  <si>
    <t xml:space="preserve">Coffee-mate $3.79 Costco, Califia Oat $4.32 Walmart, blended over the 4 dairy / 8 non-dairy split</t>
  </si>
  <si>
    <t xml:space="preserve">Electrolyte canister</t>
  </si>
  <si>
    <t xml:space="preserve">B87/B88</t>
  </si>
  <si>
    <t xml:space="preserve">$13 / 6 gal</t>
  </si>
  <si>
    <t xml:space="preserve">$14.99 / 9 gal</t>
  </si>
  <si>
    <t xml:space="preserve">unit fixed</t>
  </si>
  <si>
    <t xml:space="preserve">Costco Gatorade 76.5 oz = $1.67/gal. Liquid I.V. checked and rejected at $5.33/gal</t>
  </si>
  <si>
    <t xml:space="preserve">Coffee grounds, 5 lb (Stone Street coarse)</t>
  </si>
  <si>
    <t xml:space="preserve">B85</t>
  </si>
  <si>
    <t xml:space="preserve">+17%</t>
  </si>
  <si>
    <t xml:space="preserve">RESOLVED 14 Aug 2026 — Stone Street COARSE cold brew, 5 lb bag $72.99 ($14.60/lb), Amazon. Replaces Kirkland Colombian 3 lb drip grind at $20.99. Buy size checked: 5 bags beats 24 single pounds by $49.05 and an exact-24 lb mix by only $3.99. See Purchase List row 55.</t>
  </si>
  <si>
    <t xml:space="preserve">-49%</t>
  </si>
  <si>
    <t xml:space="preserve">Reàl 16.9 oz, WebstaurantStore case of 6 at $38.99</t>
  </si>
  <si>
    <t xml:space="preserve">Pineapple purée</t>
  </si>
  <si>
    <t xml:space="preserve">-40%</t>
  </si>
  <si>
    <t xml:space="preserve">Reàl 16.9 oz, WebstaurantStore case of 6 at $43.49</t>
  </si>
  <si>
    <t xml:space="preserve">Hot sauce, 12 oz</t>
  </si>
  <si>
    <t xml:space="preserve">B107</t>
  </si>
  <si>
    <t xml:space="preserve">-42%</t>
  </si>
  <si>
    <t xml:space="preserve">Valentina 12.5 oz, Walmart $1.68</t>
  </si>
  <si>
    <t xml:space="preserve">Horchata base</t>
  </si>
  <si>
    <t xml:space="preserve">-58%</t>
  </si>
  <si>
    <t xml:space="preserve">Mexquisita 23.6 oz concentrate makes ~165 oz. Was the workbook's own flagged unknown</t>
  </si>
  <si>
    <t xml:space="preserve">Pickle brine</t>
  </si>
  <si>
    <t xml:space="preserve">B211/B212</t>
  </si>
  <si>
    <t xml:space="preserve">14 oz @ $5</t>
  </si>
  <si>
    <t xml:space="preserve">115 oz @ $7.50</t>
  </si>
  <si>
    <t xml:space="preserve">restructured</t>
  </si>
  <si>
    <t xml:space="preserve">Mt. Olive 128 oz gallon spear jar = $0.13/oz brine vs $0.357 for six 32 oz jars</t>
  </si>
  <si>
    <t xml:space="preserve">50 g @ $20</t>
  </si>
  <si>
    <t xml:space="preserve">30 g @ $16</t>
  </si>
  <si>
    <t xml:space="preserve">respecified</t>
  </si>
  <si>
    <t xml:space="preserve">50 g is not a real SKU; market is 30 g and 60 g. 0.25-0.5 g per drink</t>
  </si>
  <si>
    <t xml:space="preserve">Basil seeds, 100 g</t>
  </si>
  <si>
    <t xml:space="preserve">B152</t>
  </si>
  <si>
    <t xml:space="preserve">-43%</t>
  </si>
  <si>
    <t xml:space="preserve">NY Spice Shop 8 oz bag at $6.49 = $2.86/100 g</t>
  </si>
  <si>
    <t xml:space="preserve">Mugicha, 54 bags</t>
  </si>
  <si>
    <t xml:space="preserve">B141</t>
  </si>
  <si>
    <t xml:space="preserve">-30%</t>
  </si>
  <si>
    <t xml:space="preserve">Ito En, H Mart $5.99</t>
  </si>
  <si>
    <t xml:space="preserve">Suan mei tang YIELD</t>
  </si>
  <si>
    <t xml:space="preserve">B136</t>
  </si>
  <si>
    <t xml:space="preserve">0.66 gal</t>
  </si>
  <si>
    <t xml:space="preserve">0.53 gal</t>
  </si>
  <si>
    <t xml:space="preserve">YIELD FIX</t>
  </si>
  <si>
    <t xml:space="preserve">*** Packets brew at 2.0 L, not 2.5 L. Every supplier agrees. 8 packets bought 4.2 gal against a 5 gal target ***</t>
  </si>
  <si>
    <t xml:space="preserve">Suan mei tang</t>
  </si>
  <si>
    <t xml:space="preserve">B137</t>
  </si>
  <si>
    <t xml:space="preserve">+20%</t>
  </si>
  <si>
    <t xml:space="preserve">Tak Shing Hong $4.99 direct, $5.66 via Weee!</t>
  </si>
  <si>
    <t xml:space="preserve">Green tea, 100 bags</t>
  </si>
  <si>
    <t xml:space="preserve">B180</t>
  </si>
  <si>
    <t xml:space="preserve">+50%</t>
  </si>
  <si>
    <t xml:space="preserve">Kirkland Japanese 100-ct, Costco $11.99-13.49</t>
  </si>
  <si>
    <t xml:space="preserve">Dried hibiscus, 1 lb</t>
  </si>
  <si>
    <t xml:space="preserve">B126</t>
  </si>
  <si>
    <t xml:space="preserve">+27%</t>
  </si>
  <si>
    <t xml:space="preserve">Sabor Orgánico 1 lb, Amazon $14.95</t>
  </si>
  <si>
    <t xml:space="preserve">Lapsang, 4 oz</t>
  </si>
  <si>
    <t xml:space="preserve">B144</t>
  </si>
  <si>
    <t xml:space="preserve">-8%</t>
  </si>
  <si>
    <t xml:space="preserve">Upton Tea / English Tea Store</t>
  </si>
  <si>
    <t xml:space="preserve">Aloe, 1.5 L</t>
  </si>
  <si>
    <t xml:space="preserve">B149</t>
  </si>
  <si>
    <t xml:space="preserve">+13%</t>
  </si>
  <si>
    <t xml:space="preserve">OKF Aloe Vera King. Buy the PULPED line, not pulp-free</t>
  </si>
  <si>
    <t xml:space="preserve">Celsius</t>
  </si>
  <si>
    <t xml:space="preserve">B184/B185</t>
  </si>
  <si>
    <t xml:space="preserve">12-pk @ $20</t>
  </si>
  <si>
    <t xml:space="preserve">18-pk @ $24</t>
  </si>
  <si>
    <t xml:space="preserve">pack fixed</t>
  </si>
  <si>
    <t xml:space="preserve">Costco has no 12-pack; the SKU is an 18-count at $1.33/can</t>
  </si>
  <si>
    <t xml:space="preserve">B190/B191</t>
  </si>
  <si>
    <t xml:space="preserve">24-pk @ $20</t>
  </si>
  <si>
    <t xml:space="preserve">30-pk @ $21.49</t>
  </si>
  <si>
    <t xml:space="preserve">Costco SKU is a 30-count variety = $0.64/can vs $0.833 assumed</t>
  </si>
  <si>
    <t xml:space="preserve">White Claw</t>
  </si>
  <si>
    <t xml:space="preserve">B187/B188</t>
  </si>
  <si>
    <t xml:space="preserve">12-pk @ $18</t>
  </si>
  <si>
    <t xml:space="preserve">24-pk @ $30.49</t>
  </si>
  <si>
    <t xml:space="preserve">24-pack is $1.27/can vs $1.42; the 12-pack SKU is nearly gone</t>
  </si>
  <si>
    <t xml:space="preserve">+36%</t>
  </si>
  <si>
    <t xml:space="preserve">AVAILABILITY, not price. Costco Bundaberg is $1.14/can but out at 93% of warehouses. Cock'n Bull 4-packs are the buyable format</t>
  </si>
  <si>
    <t xml:space="preserve">Tonic, 12 oz can</t>
  </si>
  <si>
    <t xml:space="preserve">Bar Add-Ons D7</t>
  </si>
  <si>
    <t xml:space="preserve">-29%</t>
  </si>
  <si>
    <t xml:space="preserve">Seagram's 24-pack $12.57 Walmart. The old price was Fever-Tree, whose cans are 5.07 oz not 12</t>
  </si>
  <si>
    <t xml:space="preserve">Soda water buffer</t>
  </si>
  <si>
    <t xml:space="preserve">Bar Add-Ons D8</t>
  </si>
  <si>
    <t xml:space="preserve">-47%</t>
  </si>
  <si>
    <t xml:space="preserve">Kirkland 35-pack at $13 = $0.371/can</t>
  </si>
  <si>
    <t xml:space="preserve">Angostura, 4 oz</t>
  </si>
  <si>
    <t xml:space="preserve">Bar Add-Ons D10</t>
  </si>
  <si>
    <t xml:space="preserve">+33%</t>
  </si>
  <si>
    <t xml:space="preserve">Total Wine $14.99, Walmart $9.87</t>
  </si>
  <si>
    <t xml:space="preserve">Bar Add-Ons D14</t>
  </si>
  <si>
    <t xml:space="preserve">+11%</t>
  </si>
  <si>
    <t xml:space="preserve">Costco 24-pack. Widest warehouse spread of anything checked ($21-45) *** CHECK YELLOW EDITION SEPARATELY (14 Aug 2026): specialty editions often shelf above regular, and this line budgets $1.55/can. Half the buy is now Yellow Edition — see Bar Add-Ons row 14. ***</t>
  </si>
  <si>
    <t xml:space="preserve">Coconut water</t>
  </si>
  <si>
    <t xml:space="preserve">Bar Add-Ons D16</t>
  </si>
  <si>
    <t xml:space="preserve">+14%</t>
  </si>
  <si>
    <t xml:space="preserve">Vita Coco 18 x 11.1 oz, Costco</t>
  </si>
  <si>
    <t xml:space="preserve">Mexican lager, 24-pk</t>
  </si>
  <si>
    <t xml:space="preserve">Packaged Prices C11</t>
  </si>
  <si>
    <t xml:space="preserve">*** BIGGEST UNDERSTATEMENT FOUND. $20 was the promo floor; Costco average is $26.80 ***</t>
  </si>
  <si>
    <t xml:space="preserve">Kombucha, 48 oz</t>
  </si>
  <si>
    <t xml:space="preserve">Packaged Prices C7</t>
  </si>
  <si>
    <t xml:space="preserve">-17%</t>
  </si>
  <si>
    <t xml:space="preserve">GT's Synergy, Sprouts Reno. See the Clear Mind format problem in the open questions</t>
  </si>
  <si>
    <t xml:space="preserve">Sour ale, 6-pk</t>
  </si>
  <si>
    <t xml:space="preserve">Packaged Prices C9</t>
  </si>
  <si>
    <t xml:space="preserve">settled</t>
  </si>
  <si>
    <t xml:space="preserve">Sierra Nevada Wild Little Thing. The placeholder price was right; only the "TBD" needed resolving</t>
  </si>
  <si>
    <t xml:space="preserve">Blonde ale, 6-pk</t>
  </si>
  <si>
    <t xml:space="preserve">Packaged Prices C10</t>
  </si>
  <si>
    <t xml:space="preserve">-5%</t>
  </si>
  <si>
    <t xml:space="preserve">Kona Big Wave, Total Wine</t>
  </si>
  <si>
    <t xml:space="preserve">Green tea, 12-pk</t>
  </si>
  <si>
    <t xml:space="preserve">Packaged Prices C12</t>
  </si>
  <si>
    <t xml:space="preserve">+16%</t>
  </si>
  <si>
    <t xml:space="preserve">Ito En Oi Ocha, Costco regular. In stock at only ~36% of warehouses</t>
  </si>
  <si>
    <t xml:space="preserve">Vodka, 750 ml</t>
  </si>
  <si>
    <t xml:space="preserve">B42</t>
  </si>
  <si>
    <t xml:space="preserve">-38%</t>
  </si>
  <si>
    <t xml:space="preserve">Tito's, Total Wine</t>
  </si>
  <si>
    <t xml:space="preserve">Coconut rum, 750 ml</t>
  </si>
  <si>
    <t xml:space="preserve">B43</t>
  </si>
  <si>
    <t xml:space="preserve">-35%</t>
  </si>
  <si>
    <t xml:space="preserve">Malibu, Total Wine</t>
  </si>
  <si>
    <t xml:space="preserve">Bourbon, 750 ml</t>
  </si>
  <si>
    <t xml:space="preserve">B44</t>
  </si>
  <si>
    <t xml:space="preserve">-50%</t>
  </si>
  <si>
    <t xml:space="preserve">Evan Williams Black. $28 only buys Buffalo Trace</t>
  </si>
  <si>
    <t xml:space="preserve">Blanco tequila, 750 ml</t>
  </si>
  <si>
    <t xml:space="preserve">B45</t>
  </si>
  <si>
    <t xml:space="preserve">+8%</t>
  </si>
  <si>
    <t xml:space="preserve">Espolòn in store</t>
  </si>
  <si>
    <t xml:space="preserve">Spiced rum, 750 ml</t>
  </si>
  <si>
    <t xml:space="preserve">B46</t>
  </si>
  <si>
    <t xml:space="preserve">-20%</t>
  </si>
  <si>
    <t xml:space="preserve">Captain Morgan Original</t>
  </si>
  <si>
    <t xml:space="preserve">Whiskey, 750 ml</t>
  </si>
  <si>
    <t xml:space="preserve">B47</t>
  </si>
  <si>
    <t xml:space="preserve">Jameson. Ole Smoky Pickles is $21.99 for the novelty bottle</t>
  </si>
  <si>
    <t xml:space="preserve">Tangerine, per bottle</t>
  </si>
  <si>
    <t xml:space="preserve">B89/B90</t>
  </si>
  <si>
    <t xml:space="preserve">52 oz @ $5</t>
  </si>
  <si>
    <t xml:space="preserve">59 oz @ $4.80</t>
  </si>
  <si>
    <t xml:space="preserve">Perricone Farms 2 x 59 oz, Costco $9.59. In stock at ~63% of warehouses</t>
  </si>
  <si>
    <t xml:space="preserve">Tangerine, per quart</t>
  </si>
  <si>
    <t xml:space="preserve">B196</t>
  </si>
  <si>
    <t xml:space="preserve">+86%</t>
  </si>
  <si>
    <t xml:space="preserve">Natalie's 32 oz. $3.50 is not achievable for tangerine</t>
  </si>
  <si>
    <t xml:space="preserve">Maraschino cherries</t>
  </si>
  <si>
    <t xml:space="preserve">Luxardo Costco REGULAR price; $7.49 was a sale. Stocked at only ~24% of warehouses</t>
  </si>
  <si>
    <t xml:space="preserve">Grenadine, 25 oz</t>
  </si>
  <si>
    <t xml:space="preserve">B74</t>
  </si>
  <si>
    <t xml:space="preserve">+25%</t>
  </si>
  <si>
    <t xml:space="preserve">Rose's, Smart &amp; Final Reno</t>
  </si>
  <si>
    <t xml:space="preserve">ACV, 32 oz</t>
  </si>
  <si>
    <t xml:space="preserve">B130</t>
  </si>
  <si>
    <t xml:space="preserve">+23%</t>
  </si>
  <si>
    <t xml:space="preserve">Bragg organic, Walmart</t>
  </si>
  <si>
    <t xml:space="preserve">Tajin, 5 oz</t>
  </si>
  <si>
    <t xml:space="preserve">B110</t>
  </si>
  <si>
    <t xml:space="preserve">Walmart</t>
  </si>
  <si>
    <t xml:space="preserve">Clamato, 64 oz</t>
  </si>
  <si>
    <t xml:space="preserve">Costco warehouse $5.99-6.49 per 2-pack. Costco.com is $10.99 — buy in store</t>
  </si>
  <si>
    <t xml:space="preserve">2 L bottles</t>
  </si>
  <si>
    <t xml:space="preserve">B166</t>
  </si>
  <si>
    <t xml:space="preserve">+12%</t>
  </si>
  <si>
    <t xml:space="preserve">Lemons</t>
  </si>
  <si>
    <t xml:space="preserve">Costco 5 lb bag</t>
  </si>
  <si>
    <t xml:space="preserve">Limes</t>
  </si>
  <si>
    <t xml:space="preserve">+7%</t>
  </si>
  <si>
    <t xml:space="preserve">Costco 3 lb bag. A 40 lb case at Chef'Store Reno is $0.21 each — worth ~$15</t>
  </si>
  <si>
    <t xml:space="preserve">Dispensers</t>
  </si>
  <si>
    <t xml:space="preserve">Purchase List F69</t>
  </si>
  <si>
    <t xml:space="preserve">28 ea</t>
  </si>
  <si>
    <t xml:space="preserve">17.50 ea</t>
  </si>
  <si>
    <t xml:space="preserve">Choice 3-gal, WebstaurantStore. $28 was stainless-tier</t>
  </si>
  <si>
    <t xml:space="preserve">1 gal containers</t>
  </si>
  <si>
    <t xml:space="preserve">Purchase List F70</t>
  </si>
  <si>
    <t xml:space="preserve">9 ea</t>
  </si>
  <si>
    <t xml:space="preserve">4.35 ea</t>
  </si>
  <si>
    <t xml:space="preserve">-52%</t>
  </si>
  <si>
    <t xml:space="preserve">Cambro 4 qt 3-pack at $12.99</t>
  </si>
  <si>
    <t xml:space="preserve">Ice tubs</t>
  </si>
  <si>
    <t xml:space="preserve">Purchase List F72</t>
  </si>
  <si>
    <t xml:space="preserve">20 ea</t>
  </si>
  <si>
    <t xml:space="preserve">15 ea</t>
  </si>
  <si>
    <t xml:space="preserve">-25%</t>
  </si>
  <si>
    <t xml:space="preserve">Sterilite 20 gal, Walmart. A 27 gal HDX is ~$8-10 and holds more</t>
  </si>
  <si>
    <t xml:space="preserve">Fresh mint</t>
  </si>
  <si>
    <t xml:space="preserve">Purchase List F42</t>
  </si>
  <si>
    <t xml:space="preserve">+67%</t>
  </si>
  <si>
    <t xml:space="preserve">ESTIMATE</t>
  </si>
  <si>
    <t xml:space="preserve">COSTCO CARRIES NO FRESH SOFT HERBS. Grocery bunches $2-3; Walmart clamshells would put this at ~$21</t>
  </si>
  <si>
    <t xml:space="preserve">Apples &amp; pears</t>
  </si>
  <si>
    <t xml:space="preserve">Purchase List F48</t>
  </si>
  <si>
    <t xml:space="preserve">+30%</t>
  </si>
  <si>
    <t xml:space="preserve">~$0.70 a fruit, but bag minimums mean ~$13 regardless</t>
  </si>
  <si>
    <t xml:space="preserve">CONFIRMED UNCHANGED</t>
  </si>
  <si>
    <t xml:space="preserve">Base soda $16/35-pk (Reno #25 at $14.49), soda water $13, Torani $8, cream of coconut $3.98, agave $4.75, OJ $7.49, pineapple juice $3.33, watermelon $7, cider $19.99, lemonade REPRICED — now RTD bottles, see row 34, Radler $9.99</t>
  </si>
  <si>
    <t xml:space="preserve">STILL OPEN — decisions, not prices</t>
  </si>
  <si>
    <t xml:space="preserve">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</si>
  <si>
    <t xml:space="preserve">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</si>
  <si>
    <t xml:space="preserve">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</si>
  <si>
    <t xml:space="preserve">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</si>
  <si>
    <t xml:space="preserve">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</si>
  <si>
    <t xml:space="preserve">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</si>
  <si>
    <t xml:space="preserve">ONE PROMO EXPIRES AROUND THE TRIP: the Ito En green tea instant saving takes it from $18.59 to $9.97 — worth buying early. (The Country Time lemonade powder promo is no longer relevant: the lemonade went ready-to-drink 14 Aug 2026, see row 34.)</t>
  </si>
  <si>
    <t xml:space="preserve">WATERMELON JUICE IS AN ESTIMATE, NOT A CHECKED PRICE. Assumptions B218/B219 assume a 1 L (33.8 oz) carton at $4.99. It is no longer the only estimate in the model — the two 1 L mixer prices added on 8 Aug 2026 (B236 soda water, B237 tonic) are also unchecked. See the BevMo section below.</t>
  </si>
  <si>
    <t xml:space="preserve">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</si>
  <si>
    <t xml:space="preserve">BEVMO SCOUTING TRIP — 8 Aug 2026</t>
  </si>
  <si>
    <t xml:space="preserve">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</si>
  <si>
    <t xml:space="preserve">BOUGHT: LIQUOR POUR SPOUTS, $8.99 / 3-pack. Two packs. New line, Purchase List row 67 and Supplies row 27. Nothing on the list controlled the pour off 27 bottles of liquor.</t>
  </si>
  <si>
    <t xml:space="preserve">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</si>
  <si>
    <t xml:space="preserve">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</si>
  <si>
    <t xml:space="preserve">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</si>
  <si>
    <t xml:space="preserve">DO NOT BUY — 2 L SODA AT BEVMO. 7up 2 L at $3.59 against $2.78 in the model (Assumptions B166, Walmart). +29%. 7up is also in no recipe — Sprite is the lemon-lime base. Buy the 2 Ls at Walmart with the rest.</t>
  </si>
  <si>
    <t xml:space="preserve">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</si>
  <si>
    <t xml:space="preserve">DECLINED — PINEAPPLE JUICE, 6 x 8 oz cans / 48 oz. No price recorded, but the Costco 46 oz can is $3.33 = $0.072/oz and the only draw is 82.5 oz into one Thursday jug, where a big can has no waste problem. Small cans solve a problem this line does not have.</t>
  </si>
  <si>
    <t xml:space="preserve">DECLINED — MANGO PURÉE, $8.19 / 16.9 oz. Correct format, no menu gap. Nothing on the board wants mango that guava does not want more, and the Reàl case is cheaper if a mango drink ever happens. Reconsider only as a second trial bottle alongside the guava.</t>
  </si>
  <si>
    <t xml:space="preserve">GEAR, NOTED NOT BOUGHT — cocktail shaker $19.99 (Supplies row 10 wants 2 = $40), muddler $10 (row 7 wants 2 = $20). Both are already on the Supplies list and both are cheaper on Amazon / restaurant supply. BevMo is the backup if the order does not land in time.</t>
  </si>
  <si>
    <t xml:space="preserve">CONTAINER FORMATS — 8 Aug 2026</t>
  </si>
  <si>
    <t xml:space="preserve">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</si>
  <si>
    <t xml:space="preserve">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</si>
  <si>
    <t xml:space="preserve">TONIC: 24 x 12 oz cans at $14.40 becomes 9 x 1 L at an estimated $13.50 — same ~290 oz. Tonic is a 3-4 oz splash; the can was never the right unit.</t>
  </si>
  <si>
    <t xml:space="preserve">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</si>
  <si>
    <t xml:space="preserve">TWO NEW UNCHECKED PRICES. B236 (soda water, $1.35/L) and B237 (tonic, $1.50/L) are estimates, not listings. Soda water is the one that matters — 59 bottles, so every 10c is $6. VERIFY BOTH ON THE SHOP RUN. The old $13/35-can case on B22 is kept as LEGACY in case the format goes back.</t>
  </si>
  <si>
    <t xml:space="preserve">NEW DRINK — GUAVASCRIPT, 8 Aug 2026</t>
  </si>
  <si>
    <t xml:space="preserve">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</si>
  <si>
    <t xml:space="preserve">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</si>
  <si>
    <t xml:space="preserve">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</si>
  <si>
    <t xml:space="preserve">CLEAR CACHE MOVED OFF FRESH LEMON ONTO YUZU, 10 Aug 2026</t>
  </si>
  <si>
    <t xml:space="preserve">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</si>
  <si>
    <t xml:space="preserve">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</si>
  <si>
    <t xml:space="preserve">If the cost is not wanted, reverting is two cells: put 'Lemon juice (fresh)' back into F11 (SCOBY Mule) and/or H14 (Clear Cache) on 'Dirty Soda - Built Drinks' and every line above re-derives itself, including the lemon count and its shopping line.</t>
  </si>
  <si>
    <t xml:space="preserve">FRESH LEMON RETIRED ENTIRELY — SCOBY MULE ONTO YUZU, 10 Aug 2026</t>
  </si>
  <si>
    <t xml:space="preserve">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</si>
  <si>
    <t xml:space="preserve">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</si>
  <si>
    <t xml:space="preserve">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</si>
  <si>
    <t xml:space="preserve">NET: about +$11.68. Reverting any of it is one cell — put 'Lemon juice (fresh)' back into a Syrup A/B slot and the lemon count and its shopping line re-derive themselves.</t>
  </si>
  <si>
    <t xml:space="preserve">LOCALHOST GAINS MARGARITA MIXER, RAWHIDE LOSES SODA WATER — 11 Aug 2026</t>
  </si>
  <si>
    <t xml:space="preserve">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</si>
  <si>
    <t xml:space="preserve">Rawhide's soda water goes 8 oz to 6, bringing it to exactly the 8 oz house pour and taking 40 oz off the soda water line. It stays the only from-scratch tequila build and the only genuinely dry thing on the board.</t>
  </si>
  <si>
    <t xml:space="preserve">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</si>
  <si>
    <t xml:space="preserve">Drink Totals &amp; Cost by Section</t>
  </si>
  <si>
    <t xml:space="preserve">Live-linked to every other tab. Drinks come from Kegs / Daily Schedule / Recipes; costs roll up from the Purchase List Category column, then Section C splits each shared pool across the four drink types by a stated basis, so no type is over- or under-charged.</t>
  </si>
  <si>
    <t xml:space="preserve">PACKAGED (POST-KEG) VERSION — the 'Kegs' cost category on row 24 is now packaged beer, cider, kombucha and green tea, and 'Rental/gas' on row 26 has fallen to $0. Drink counts and every allocation basis are unchanged, because the swap fills exactly the same servings.</t>
  </si>
  <si>
    <t xml:space="preserve">A. DRINKS BY TYPE</t>
  </si>
  <si>
    <t xml:space="preserve">Drink type</t>
  </si>
  <si>
    <t xml:space="preserve">Drinks</t>
  </si>
  <si>
    <t xml:space="preserve">Share</t>
  </si>
  <si>
    <t xml:space="preserve">$ / drink</t>
  </si>
  <si>
    <t xml:space="preserve">Straight pour — cold can or bottle handed over</t>
  </si>
  <si>
    <t xml:space="preserve">Jug — nightly 10 L daily special</t>
  </si>
  <si>
    <t xml:space="preserve">Built off a beverage line (Michelada, Tang, both SCOBYs, Clear Cache, Sakura)</t>
  </si>
  <si>
    <t xml:space="preserve">Dirty soda — canned base</t>
  </si>
  <si>
    <t xml:space="preserve">Standalone — a can or bottle taken from the cooler</t>
  </si>
  <si>
    <t xml:space="preserve">TOTAL DRINKS / DIRECTLY ATTRIBUTED COST</t>
  </si>
  <si>
    <t xml:space="preserve">Shared cost — not tied to one drink type</t>
  </si>
  <si>
    <t xml:space="preserve">TOTAL PROGRAM COST (excl. refundable deposits)</t>
  </si>
  <si>
    <t xml:space="preserve">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</si>
  <si>
    <t xml:space="preserve">B. COST BY SECTION — straight from the Purchase List categories</t>
  </si>
  <si>
    <t xml:space="preserve">Section</t>
  </si>
  <si>
    <t xml:space="preserve">Purchase List category</t>
  </si>
  <si>
    <t xml:space="preserve">Rolls up to</t>
  </si>
  <si>
    <t xml:space="preserve">Base soda, lemonade, horchata &amp; soda water</t>
  </si>
  <si>
    <t xml:space="preserve">Soda</t>
  </si>
  <si>
    <t xml:space="preserve">Jug + canned dirty soda</t>
  </si>
  <si>
    <t xml:space="preserve">Syrups &amp; fruit purees</t>
  </si>
  <si>
    <t xml:space="preserve">Syrup</t>
  </si>
  <si>
    <t xml:space="preserve">Jug + built + canned</t>
  </si>
  <si>
    <t xml:space="preserve">Cream of coconut</t>
  </si>
  <si>
    <t xml:space="preserve">Dairy/cream</t>
  </si>
  <si>
    <t xml:space="preserve">Built-drink extras + rim salt</t>
  </si>
  <si>
    <t xml:space="preserve">Built drink</t>
  </si>
  <si>
    <t xml:space="preserve">Built drinks</t>
  </si>
  <si>
    <t xml:space="preserve">Fresh produce (limes and the watermelon juice for the canned-base builds)</t>
  </si>
  <si>
    <t xml:space="preserve">Fresh produce</t>
  </si>
  <si>
    <t xml:space="preserve">Canned dirty soda</t>
  </si>
  <si>
    <t xml:space="preserve">Packaged beverage — cider, beer, kombucha, green tea</t>
  </si>
  <si>
    <t xml:space="preserve">Beverage</t>
  </si>
  <si>
    <t xml:space="preserve">Keg + built drinks</t>
  </si>
  <si>
    <t xml:space="preserve">Beverage add-ons (aloe, lychee)</t>
  </si>
  <si>
    <t xml:space="preserve">Beverage add-on</t>
  </si>
  <si>
    <t xml:space="preserve">Keg</t>
  </si>
  <si>
    <t xml:space="preserve">Jockey box rental, CO2, lines — $0 with no kegs</t>
  </si>
  <si>
    <t xml:space="preserve">Rental/gas</t>
  </si>
  <si>
    <t xml:space="preserve">Ice tubs for the cold stock</t>
  </si>
  <si>
    <t xml:space="preserve">Hardware</t>
  </si>
  <si>
    <t xml:space="preserve">Daily special (jug) ingredients</t>
  </si>
  <si>
    <t xml:space="preserve">Daily Special</t>
  </si>
  <si>
    <t xml:space="preserve">Jug</t>
  </si>
  <si>
    <t xml:space="preserve">Liquor (optional add-on)</t>
  </si>
  <si>
    <t xml:space="preserve">Liquor</t>
  </si>
  <si>
    <t xml:space="preserve">Shared</t>
  </si>
  <si>
    <t xml:space="preserve">Fresh garnish &amp; produce</t>
  </si>
  <si>
    <t xml:space="preserve">Garnish</t>
  </si>
  <si>
    <t xml:space="preserve">Misc — catch-all (nothing tagged Misc right now)</t>
  </si>
  <si>
    <t xml:space="preserve">Misc</t>
  </si>
  <si>
    <t xml:space="preserve">Camp bulk (cold brew, creamer, electrolytes, suan mei tang, mugicha, green tea, Celsius, seltzer, Spindrift, ginger beer)</t>
  </si>
  <si>
    <t xml:space="preserve">Camp bulk</t>
  </si>
  <si>
    <t xml:space="preserve">Shared — see Camp Drinks tab</t>
  </si>
  <si>
    <t xml:space="preserve">Bar add-ons (tonic, soda water, Red Bull, bitters)</t>
  </si>
  <si>
    <t xml:space="preserve">Add-on</t>
  </si>
  <si>
    <t xml:space="preserve">Shared — see Bar Add-Ons tab</t>
  </si>
  <si>
    <t xml:space="preserve">PROGRAM TOTAL (excl. refundable deposits)</t>
  </si>
  <si>
    <t xml:space="preserve">Memo — keg deposits (REFUNDABLE, cash up front)</t>
  </si>
  <si>
    <t xml:space="preserve">Deposit</t>
  </si>
  <si>
    <t xml:space="preserve">Check: sections + deposits vs Purchase List total (should be $0)</t>
  </si>
  <si>
    <t xml:space="preserve">C. SHARED-INPUT ALLOCATION — how each pool splits across the four types</t>
  </si>
  <si>
    <t xml:space="preserve">Shared input pool</t>
  </si>
  <si>
    <t xml:space="preserve">Allocation basis</t>
  </si>
  <si>
    <t xml:space="preserve">Pool $</t>
  </si>
  <si>
    <t xml:space="preserve">→ Keg straight</t>
  </si>
  <si>
    <t xml:space="preserve">→ Jug</t>
  </si>
  <si>
    <t xml:space="preserve">→ Built drinks</t>
  </si>
  <si>
    <t xml:space="preserve">→ Canned dirty soda</t>
  </si>
  <si>
    <t xml:space="preserve">Keg liquid + tap infrastructure</t>
  </si>
  <si>
    <t xml:space="preserve">servings drawn off the kegs</t>
  </si>
  <si>
    <t xml:space="preserve">Keg add-ons (aloe, lychee)</t>
  </si>
  <si>
    <t xml:space="preserve">100% straight pours</t>
  </si>
  <si>
    <t xml:space="preserve">oz consumed</t>
  </si>
  <si>
    <t xml:space="preserve">100% built drinks</t>
  </si>
  <si>
    <t xml:space="preserve">Fresh produce (limes and watermelon juice)</t>
  </si>
  <si>
    <t xml:space="preserve">100% canned dirty soda</t>
  </si>
  <si>
    <t xml:space="preserve">Daily special ingredients</t>
  </si>
  <si>
    <t xml:space="preserve">100% jug</t>
  </si>
  <si>
    <t xml:space="preserve">TOTAL ALLOCATED</t>
  </si>
  <si>
    <t xml:space="preserve">Supporting figures — the quantities that drive the splits above</t>
  </si>
  <si>
    <t xml:space="preserve">Base soda pool — total oz</t>
  </si>
  <si>
    <t xml:space="preserve">Base soda pool — jug oz</t>
  </si>
  <si>
    <t xml:space="preserve">Syrups &amp; purees — total oz</t>
  </si>
  <si>
    <t xml:space="preserve">Syrups &amp; purees — jug oz</t>
  </si>
  <si>
    <t xml:space="preserve">Syrups &amp; purees — built-drink oz (Tang + Sakura passion fruit, Clear Cache peach)</t>
  </si>
  <si>
    <t xml:space="preserve">Cream of coconut — total oz</t>
  </si>
  <si>
    <t xml:space="preserve">Cream of coconut — jug oz</t>
  </si>
  <si>
    <t xml:space="preserve">Keg servings — poured straight</t>
  </si>
  <si>
    <t xml:space="preserve">Keg servings — leaving as built drinks</t>
  </si>
  <si>
    <t xml:space="preserve">Keg cost per serving (liquid + tap infrastructure)</t>
  </si>
  <si>
    <t xml:space="preserve">Why a straight keg pour and a built drink cost about the same: both draw one serving off a keg, so both carry the same per-serving keg cost (last row above). Liquor, garnish and camp bulk stay unallocated on row 12.</t>
  </si>
  <si>
    <t xml:space="preserve">Beverage Lines — packaged drinks poured straight or used as a build base</t>
  </si>
  <si>
    <t xml:space="preserve">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</si>
  <si>
    <t xml:space="preserve">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</si>
  <si>
    <t xml:space="preserve"># units (80 servings ea — Assumptions B12)</t>
  </si>
  <si>
    <t xml:space="preserve">Old keg $/ea (baseline only)</t>
  </si>
  <si>
    <t xml:space="preserve">Add-ons / garnish ideas</t>
  </si>
  <si>
    <t xml:space="preserve">Old keg subtotal (baseline only)</t>
  </si>
  <si>
    <t xml:space="preserve">Cider</t>
  </si>
  <si>
    <t xml:space="preserve">AVAILABLE ALL WEEK — the old Sun-Mon "other tap line" restriction is gone with the kegs. 80 straight pours, handed over as sealed cans. Cinnamon-sugar rim, apple/pear slice, orange squeeze, rosemary/thyme sprig, candied ginger, pomegranate float.</t>
  </si>
  <si>
    <t xml:space="preserve">Kombucha — Island Mango</t>
  </si>
  <si>
    <t xml:space="preserve">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</si>
  <si>
    <t xml:space="preserve">Sour Ale</t>
  </si>
  <si>
    <t xml:space="preserve">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</si>
  <si>
    <t xml:space="preserve">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</si>
  <si>
    <t xml:space="preserve">Blonde Ale</t>
  </si>
  <si>
    <t xml:space="preserve">AVAILABLE ALL WEEK — the old Fri-Sat slot is gone with the kegs. 40 straight pours (this line was sized as a half keg, which is why it is 40 and not 80); handed over as sealed cans.</t>
  </si>
  <si>
    <t xml:space="preserve">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</si>
  <si>
    <t xml:space="preserve">Kombucha — Clear Mind</t>
  </si>
  <si>
    <t xml:space="preserve">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</si>
  <si>
    <t xml:space="preserve">Packaged Sizing — packaged unit prices (yellow cells editable)</t>
  </si>
  <si>
    <t xml:space="preserve">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</si>
  <si>
    <t xml:space="preserve">PACKAGED FORMATS</t>
  </si>
  <si>
    <t xml:space="preserve">oz per unit</t>
  </si>
  <si>
    <t xml:space="preserve">$ per unit</t>
  </si>
  <si>
    <t xml:space="preserve">Kombucha — Brew Dr. variety pack (2 Clear Mind / 2 Island Mango / 2 Superberry)</t>
  </si>
  <si>
    <t xml:space="preserve">6 x 14 oz variety pack</t>
  </si>
  <si>
    <t xml:space="preserve">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</si>
  <si>
    <t xml:space="preserve">Hard cider</t>
  </si>
  <si>
    <t xml:space="preserve">12-pack, 12 oz cans</t>
  </si>
  <si>
    <t xml:space="preserve">Angry Orchard Crisp Apple 12x12oz: $19.99 Jewel-Osco, $20.19 Walmart, $21.99 Acme, $22.99 Vons; Costco Fireside mix pack $17.99-$19.89. Using $20.</t>
  </si>
  <si>
    <t xml:space="preserve">Sour ale / Shandy</t>
  </si>
  <si>
    <t xml:space="preserve">6-pack, 12 oz cans</t>
  </si>
  <si>
    <t xml:space="preserve">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</si>
  <si>
    <t xml:space="preserve">Blonde ale</t>
  </si>
  <si>
    <t xml:space="preserve">REPRICED: Kona Big Wave 6-pack $10.49 at Total Wine. (Firestone 805 24-pack works out to ~$8/6-pack.)</t>
  </si>
  <si>
    <t xml:space="preserve">Mexican lager</t>
  </si>
  <si>
    <t xml:space="preserve">24-pack, 12 oz cans</t>
  </si>
  <si>
    <t xml:space="preserve">REPRICED 2 Aug 2026 — THE BIGGEST UNDERSTATEMENT FOUND. $20 was the promo floor, not the shelf price: Modelo Especial 24 x 12 oz at Costco ranges $19.76-34.69 with a $26.80 average (tracker, 3 Aug 2026). Budgeting $26.50.</t>
  </si>
  <si>
    <t xml:space="preserve">Green tea, unsweetened</t>
  </si>
  <si>
    <t xml:space="preserve">12 x 16.9 oz bottles</t>
  </si>
  <si>
    <t xml:space="preserve">REPRICED: Ito En Oi Ocha 12 x 16.9 oz, Costco $18.59 regular — currently $9.97 on instant savings, so it could land at half this. STOCK RISK: in stock at only ~36% of warehouses and the promo ends within days. Have a backup.</t>
  </si>
  <si>
    <t xml:space="preserve">OPERATING INPUTS</t>
  </si>
  <si>
    <t xml:space="preserve">Open-container waste buffer</t>
  </si>
  <si>
    <t xml:space="preserve">Bottles/cans opened and not finished. Deliberately lower than the 15% keg buffer (Assumptions B5) because packaged drinks have no foam, no line loss and no 40 oz first-pull allowance.</t>
  </si>
  <si>
    <t xml:space="preserve">Serve beer &amp; cider as WHOLE cans?</t>
  </si>
  <si>
    <t xml:space="preserve">1 = Scenario B (recommended): a straight beer/cider/lager pour is one sealed 12 oz can handed over. 0 = Scenario A: crack cans and pour 8 oz measures like the keg model does. This cell picks which scenario feeds the Purchase List.</t>
  </si>
  <si>
    <t xml:space="preserve">Can size served whole (oz)</t>
  </si>
  <si>
    <t xml:space="preserve">Size of the can you actually hand someone. Change to 16 if you buy tallboys/4-packs.</t>
  </si>
  <si>
    <t xml:space="preserve">Packaged Sizing — bottles &amp; cans instead of 8 kegs, same servings</t>
  </si>
  <si>
    <t xml:space="preserve">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</si>
  <si>
    <t xml:space="preserve">1. SERVINGS TO REPLACE — live from the Beverage Lines tab</t>
  </si>
  <si>
    <t xml:space="preserve">Was (keg)</t>
  </si>
  <si>
    <t xml:space="preserve">Servings — straight</t>
  </si>
  <si>
    <t xml:space="preserve">Servings — built</t>
  </si>
  <si>
    <t xml:space="preserve">Servings — TOTAL</t>
  </si>
  <si>
    <t xml:space="preserve">Liquid oz needed</t>
  </si>
  <si>
    <t xml:space="preserve">Built draw (oz ea)</t>
  </si>
  <si>
    <t xml:space="preserve">0</t>
  </si>
  <si>
    <t xml:space="preserve">Kombucha — Island Mango + Superberry (Tang Dynasty + SCOBY Mule)</t>
  </si>
  <si>
    <t xml:space="preserve">Kombucha — Clear Mind (Clear Cache)</t>
  </si>
  <si>
    <t xml:space="preserve">TOTAL SERVINGS OFF KEGS</t>
  </si>
  <si>
    <t xml:space="preserve">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</si>
  <si>
    <t xml:space="preserve">2. SCENARIO A — crack cans and pour 8 oz measures (cheapest liquid)</t>
  </si>
  <si>
    <t xml:space="preserve">Buy instead</t>
  </si>
  <si>
    <t xml:space="preserve">+ waste buffer</t>
  </si>
  <si>
    <t xml:space="preserve">oz / unit</t>
  </si>
  <si>
    <t xml:space="preserve">$ / unit</t>
  </si>
  <si>
    <t xml:space="preserve">UNITS TO BUY</t>
  </si>
  <si>
    <t xml:space="preserve">Keg baseline $</t>
  </si>
  <si>
    <t xml:space="preserve">Δ vs keg</t>
  </si>
  <si>
    <t xml:space="preserve">Kombucha — VARIETY PACKS, ALL THREE FLAVOURS (see section 7)</t>
  </si>
  <si>
    <t xml:space="preserve">Kombucha (Clear Mind) — INCLUDED IN THE PACKS ON ROW 19, zeroed so it does not double-count</t>
  </si>
  <si>
    <t xml:space="preserve">SCENARIO A TOTAL</t>
  </si>
  <si>
    <t xml:space="preserve">Liquid only — the jockey box, CO2 and deposits savings are in section 5.</t>
  </si>
  <si>
    <t xml:space="preserve">3. SCENARIO B — beer, cider &amp; lager handed over as whole 12 oz cans (RECOMMENDED)</t>
  </si>
  <si>
    <t xml:space="preserve">Straight servings</t>
  </si>
  <si>
    <t xml:space="preserve">oz each (whole can)</t>
  </si>
  <si>
    <t xml:space="preserve">Built servings</t>
  </si>
  <si>
    <t xml:space="preserve">oz each (measured)</t>
  </si>
  <si>
    <t xml:space="preserve">Kombucha (Clear Mind) — INCLUDED IN THE PACKS ON ROW 30, zeroed so it does not double-count</t>
  </si>
  <si>
    <t xml:space="preserve">SCENARIO B TOTAL</t>
  </si>
  <si>
    <t xml:space="preserve">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</si>
  <si>
    <t xml:space="preserve">4. SHOPPING LIST — whichever scenario is selected on 'Packaged Prices' B16</t>
  </si>
  <si>
    <t xml:space="preserve">Buy</t>
  </si>
  <si>
    <t xml:space="preserve">12-packs (12 oz cans)</t>
  </si>
  <si>
    <t xml:space="preserve">Kombucha — Brew Dr. variety packs (ALL FLAVOURS)</t>
  </si>
  <si>
    <t xml:space="preserve">6 x 14 oz variety packs</t>
  </si>
  <si>
    <t xml:space="preserve">6-packs (12 oz cans)</t>
  </si>
  <si>
    <t xml:space="preserve">12-packs (16.9 oz bottles)</t>
  </si>
  <si>
    <t xml:space="preserve">24-packs (12 oz cans)</t>
  </si>
  <si>
    <t xml:space="preserve">Kombucha (Clear Mind) — MERGED INTO ROW 41, reads 0 on purpose</t>
  </si>
  <si>
    <t xml:space="preserve">— (included in row 41)</t>
  </si>
  <si>
    <t xml:space="preserve">TOTAL PACKAGED BEVERAGE</t>
  </si>
  <si>
    <t xml:space="preserve">Purchase List rows 19, 20, 21, 38, 39, 40 and 74 now read their Qty and $ straight off this block.</t>
  </si>
  <si>
    <t xml:space="preserve">5. HEADLINE — cash out the door</t>
  </si>
  <si>
    <t xml:space="preserve">Line</t>
  </si>
  <si>
    <t xml:space="preserve">Keg program</t>
  </si>
  <si>
    <t xml:space="preserve">No kegs — A (poured)</t>
  </si>
  <si>
    <t xml:space="preserve">No kegs — B (whole cans)</t>
  </si>
  <si>
    <t xml:space="preserve">Beverage liquid</t>
  </si>
  <si>
    <t xml:space="preserve">Keg column is 8 kegs of liquid; no-keg columns are sections 2 and 3.</t>
  </si>
  <si>
    <t xml:space="preserve">Jockey box rental (3 x 4-day)</t>
  </si>
  <si>
    <t xml:space="preserve">Purchase List row 27. Gone entirely — nothing to chill through a coil.</t>
  </si>
  <si>
    <t xml:space="preserve">CO2 refills</t>
  </si>
  <si>
    <t xml:space="preserve">Purchase List row 25. Gone — no gas to push anything.</t>
  </si>
  <si>
    <t xml:space="preserve">Jumper lines, washers, faucet wrench</t>
  </si>
  <si>
    <t xml:space="preserve">Purchase List row 30. Gone.</t>
  </si>
  <si>
    <t xml:space="preserve">SAVING vs the keg program</t>
  </si>
  <si>
    <t xml:space="preserve">Saving as % of the keg program</t>
  </si>
  <si>
    <t xml:space="preserve">Saving per serving replaced</t>
  </si>
  <si>
    <t xml:space="preserve">Memo — refundable keg deposits no longer fronted</t>
  </si>
  <si>
    <t xml:space="preserve">Not a saving — it always came back. But it is cash you no longer have to carry to Reno and no empties you have to haul back to Mike's before the deposit window closes.</t>
  </si>
  <si>
    <t xml:space="preserve">New program total (Totals by Type D13, recalculated)</t>
  </si>
  <si>
    <t xml:space="preserve">The Purchase List and Totals by Type tabs in THIS file have been rewired to the no-keg plan, so that figure is already the new bottom line. Keg program was $3,872.</t>
  </si>
  <si>
    <t xml:space="preserve">6. WHAT THE MONEY DOESN'T SHOW</t>
  </si>
  <si>
    <t xml:space="preserve">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</si>
  <si>
    <t xml:space="preserve">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</si>
  <si>
    <t xml:space="preserve">MEXICAN LAGER IS THE BIGGEST WIN. $20 for a 24-pack is $0.069/oz against $150 for the keg ($0.250/oz usable). Same for the craft styles once you drop from keg pricing to retail 6-packs.</t>
  </si>
  <si>
    <t xml:space="preserve">MOOP AND HAULING. 8 kegs is 8 objects in and 8 objects out. The no-keg plan is roughly 55-70 packages, and every can becomes MOOP you pack out. Budget bin space and a can crusher. Against that: no keg deposits, no 160 lb of full kegs, no coil box, no CO2 tank, no ice bath for kegs.</t>
  </si>
  <si>
    <t xml:space="preserve">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</si>
  <si>
    <t xml:space="preserve">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</si>
  <si>
    <t xml:space="preserve">THE JOCKEY BOX TAB IS NOW MOOT. 'Jockey Box — Buy vs Rent' still sits in this file for reference, but with no kegs there is nothing to buy or rent. If the camp goes no-keg permanently, that buy-vs-rent decision goes away with it.</t>
  </si>
  <si>
    <t xml:space="preserve">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</si>
  <si>
    <t xml:space="preserve">7. KOMBUCHA — VARIETY-PACK FLAVOUR ALLOCATION (added 14 Aug 2026)</t>
  </si>
  <si>
    <t xml:space="preserve">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</si>
  <si>
    <t xml:space="preserve">Flavour</t>
  </si>
  <si>
    <t xml:space="preserve">Drink it feeds</t>
  </si>
  <si>
    <t xml:space="preserve">oz / serving</t>
  </si>
  <si>
    <t xml:space="preserve">oz of this flavour per pack</t>
  </si>
  <si>
    <t xml:space="preserve">PACKS THIS FLAVOUR NEEDS</t>
  </si>
  <si>
    <t xml:space="preserve">Island Mango</t>
  </si>
  <si>
    <t xml:space="preserve">Clear Mind</t>
  </si>
  <si>
    <t xml:space="preserve">Superberry</t>
  </si>
  <si>
    <t xml:space="preserve">PACKS TO BUY — MAX, not sum (one pack serves all three)</t>
  </si>
  <si>
    <t xml:space="preserve">Spare, by flavour (oz)</t>
  </si>
  <si>
    <t xml:space="preserve">Island Mango / Clear Mind / Superberry — spare in C83, D83, E83</t>
  </si>
  <si>
    <t xml:space="preserve">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</si>
  <si>
    <t xml:space="preserve">Base Soda Requirement → Cans &amp; Cases</t>
  </si>
  <si>
    <t xml:space="preserve">Cans</t>
  </si>
  <si>
    <t xml:space="preserve">Cases</t>
  </si>
  <si>
    <t xml:space="preserve">oz from 2 L</t>
  </si>
  <si>
    <t xml:space="preserve">Jug draw (oz)</t>
  </si>
  <si>
    <t xml:space="preserve">2 L — extra (manual)</t>
  </si>
  <si>
    <t xml:space="preserve">Cherry Bomb jug (82.5 oz) comes out of the 2 L — now DERIVED in column G, not typed. The rest — Shirley Temple of Doom + the Squirt top-up — stays in cans.</t>
  </si>
  <si>
    <t xml:space="preserve">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</si>
  <si>
    <t xml:space="preserve">Horchata mix</t>
  </si>
  <si>
    <t xml:space="preserve">Mixed/priced separately — concentrate, sized as case-equiv on Purchase List row 46. NO BOTTLE FORMAT, same reason as lemonade on row 7: the 165 oz the Friday Whore-chata draws is already paid for, so column G is forced to 0 rather than derived.</t>
  </si>
  <si>
    <t xml:space="preserve">Mountain Dew</t>
  </si>
  <si>
    <t xml:space="preserve">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</si>
  <si>
    <t xml:space="preserve">A&amp;W 36-pack is $15.99 at Costco — $0.44/can, the cheapest base on the board and effectively identical to the 35-pack price already assumed.</t>
  </si>
  <si>
    <t xml:space="preserve">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</si>
  <si>
    <t xml:space="preserve">Other Consumables — syrups, cream, dairy, garnish</t>
  </si>
  <si>
    <t xml:space="preserve">SYRUPS</t>
  </si>
  <si>
    <t xml:space="preserve">Bottles</t>
  </si>
  <si>
    <t xml:space="preserve">Torani 750ml</t>
  </si>
  <si>
    <t xml:space="preserve">Pineapple</t>
  </si>
  <si>
    <t xml:space="preserve">Watermelon</t>
  </si>
  <si>
    <t xml:space="preserve">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</si>
  <si>
    <t xml:space="preserve">SWAPPED OFF TORANI 18 Aug 2026 — bought separately as Marjan Boudan Melon Syrup, 21.3 oz (confirmed on Amazon), not pooled into the Torani 750 ml bottle count any more. See Purchase List row 97 and Assumptions B265/B266. Catboy Snot's only syrup.</t>
  </si>
  <si>
    <t xml:space="preserve">Lemon</t>
  </si>
  <si>
    <t xml:space="preserve">TOTAL incl. Italian soda syrup draw (Assumptions B160 x B162). MELON EXCLUDED 18 Aug 2026 — bought separately as Boudan Melon Syrup (Purchase List row 97), not pooled Torani.</t>
  </si>
  <si>
    <t xml:space="preserve">CREAM, DAIRY &amp; NON-CANNED BASES</t>
  </si>
  <si>
    <t xml:space="preserve">Units</t>
  </si>
  <si>
    <t xml:space="preserve">Unit/note</t>
  </si>
  <si>
    <t xml:space="preserve">22oz squeeze bottles (Amazon)</t>
  </si>
  <si>
    <t xml:space="preserve">Lemonade (base)</t>
  </si>
  <si>
    <t xml:space="preserve">96 oz bottles — Kirkland Organic, bought as 2-count packs (4 bottles = 2 packs)</t>
  </si>
  <si>
    <t xml:space="preserve">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</si>
  <si>
    <t xml:space="preserve">52oz bottles</t>
  </si>
  <si>
    <t xml:space="preserve">Garnish/misc: fresh mint &amp; basil, limes, cinnamon (horchata), ice, cups, straws. Pickle brine is no longer in this catch-all — it is itemized on row 50. Keg add-ons priced on Beverage Lines tab.</t>
  </si>
  <si>
    <t xml:space="preserve">Consider peach/vanilla flavored vodka for Peaches &amp; Creamed / Orange Cream-sicle.</t>
  </si>
  <si>
    <t xml:space="preserve">Consider 1 pickle whiskey (e.g. Ole Smoky) for A Ginger's Pickle as a novelty side option.</t>
  </si>
  <si>
    <t xml:space="preserve">BUILT-DRINK &amp; FRESH-PRODUCE EXTRAS (itemized)</t>
  </si>
  <si>
    <t xml:space="preserve">12oz cans</t>
  </si>
  <si>
    <t xml:space="preserve">Lemon juice (fresh) — RETIRED, no build uses it</t>
  </si>
  <si>
    <t xml:space="preserve">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</si>
  <si>
    <t xml:space="preserve">Simple syrup (sugar) — RETIRED, agave now (row 46)</t>
  </si>
  <si>
    <t xml:space="preserve">Computes 0 while Assumptions B98 is zeroed</t>
  </si>
  <si>
    <t xml:space="preserve">Clamato — RETIRED 18 Aug 2026, replaced by Tres Agaves Bloody Mary Mix (row 58)</t>
  </si>
  <si>
    <t xml:space="preserve">64oz bottles</t>
  </si>
  <si>
    <t xml:space="preserve">whole limes (~1oz juice each) — Michelada + Tang Dynasty</t>
  </si>
  <si>
    <t xml:space="preserve">Hot sauce — RETIRED 18 Aug 2026, was Michelada-only</t>
  </si>
  <si>
    <t xml:space="preserve">12oz bottles</t>
  </si>
  <si>
    <t xml:space="preserve">Tajin (rim salt)</t>
  </si>
  <si>
    <t xml:space="preserve">5oz shakers — Michelada, A Ginger's Pickle and Catboy Piss rims</t>
  </si>
  <si>
    <t xml:space="preserve">Orange juice (Catboy Café build) — RETIRED 21 Aug 2026, Sakura Kisses swapped to orange syrup</t>
  </si>
  <si>
    <t xml:space="preserve">64oz cartons — separate from the Thursday jug's OJ so the cost lands on the right line</t>
  </si>
  <si>
    <t xml:space="preserve">Lime juice (fresh) — Fuzz Test + Catboy Snot + Catboy Piss + Shirley variants</t>
  </si>
  <si>
    <t xml:space="preserve">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</si>
  <si>
    <t xml:space="preserve">Apple cider vinegar (SCOBY Mule)</t>
  </si>
  <si>
    <t xml:space="preserve">32oz bottles</t>
  </si>
  <si>
    <t xml:space="preserve">Agave syrup (SCOBY Mule + Localhost)</t>
  </si>
  <si>
    <t xml:space="preserve">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</si>
  <si>
    <t xml:space="preserve">Aloe vera juice (Catboy Snot)</t>
  </si>
  <si>
    <t xml:space="preserve">1.5 L (50.7oz) bottles — DRINKING aloe with pulp, not supplement/whole-leaf</t>
  </si>
  <si>
    <t xml:space="preserve">Basil seeds (Catboy Snot) — OPTIONAL</t>
  </si>
  <si>
    <t xml:space="preserve">100g (3.5oz) bags — OPTIONAL texture garnish; drink works without them</t>
  </si>
  <si>
    <t xml:space="preserve">Pickle brine (A Ginger's Pickle + brine shots)</t>
  </si>
  <si>
    <t xml:space="preserve">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</si>
  <si>
    <t xml:space="preserve">Watermelon juice (Watermelon Sugar High)</t>
  </si>
  <si>
    <t xml:space="preserve">1 L (33.8 oz) cartons — REAL JUICE, not syrup and not the whole melons. The melons on Purchase List row 24 are Monday’s Hard Reset fresca and nothing else. Carton size and price are Assumptions B218/B219.</t>
  </si>
  <si>
    <t xml:space="preserve">Guava syrup (Torani, Guavascript)</t>
  </si>
  <si>
    <t xml:space="preserve">25.4oz Torani bottle — SWITCHED FROM 16.9oz REàL PURéE 19 Aug 2026 (Assumptions B270, not the shared B91 squeeze-bottle size, which passion fruit still uses). Amazon only sells Torani Guava in a 3-pack, so the buy is 3 bottles regardless of the ~1-bottle math need.</t>
  </si>
  <si>
    <t xml:space="preserve">Paloma mixer (Guavascript)</t>
  </si>
  <si>
    <t xml:space="preserve">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</si>
  <si>
    <t xml:space="preserve">Yuzu juice (Clear Cache)</t>
  </si>
  <si>
    <t xml:space="preserve">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</si>
  <si>
    <t xml:space="preserve">Margarita mixer (Localhost)</t>
  </si>
  <si>
    <t xml:space="preserve">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</si>
  <si>
    <t xml:space="preserve">Tres Agaves Bloody Mary Mix (Michelada)</t>
  </si>
  <si>
    <t xml:space="preserve">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</si>
  <si>
    <t xml:space="preserve">Cranberry juice (Secret Party)</t>
  </si>
  <si>
    <t xml:space="preserve">64oz jugs — sized off the 21 Aug 2026 vodka-party split (Assumptions rows 279-284), not the regular board. UNCHECKED product/price — confirm at checkout.</t>
  </si>
  <si>
    <t xml:space="preserve">Orange juice (Secret Party)</t>
  </si>
  <si>
    <t xml:space="preserve">64oz cartons — same OJ product/price as the retired Catboy Café line (Assumptions B69/B70), just a fresh draw for the vodka party, kept as its own line rather than reactivating the retired one.</t>
  </si>
  <si>
    <t xml:space="preserve">Purchase List — Burning Man 2026 Dirty Soda Bar</t>
  </si>
  <si>
    <t xml:space="preserve">PACKAGED (POST-KEG) VERSION. Rows 13, 21, 22, 42, 74, 75, 77 are packaged beer, cider, kombucha and tea, sized on the 'Packaged Sizing' tab. The retired keg infrastructure lines (jockey box, CO2, deposits, lines) have been deleted outright. Everything else pulls live from the model.</t>
  </si>
  <si>
    <t xml:space="preserve">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</si>
  <si>
    <t xml:space="preserve">PARKED (was pasted over the Category column and broke the rollups): Sunday, August 2, 2026 / Zoom Meeting / (Meeting ID: 848 0916 4817 Passcode: 533574)</t>
  </si>
  <si>
    <t xml:space="preserve">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</si>
  <si>
    <t xml:space="preserve">✓</t>
  </si>
  <si>
    <t xml:space="preserve">Category</t>
  </si>
  <si>
    <t xml:space="preserve">Est. $</t>
  </si>
  <si>
    <t xml:space="preserve">Source / Location</t>
  </si>
  <si>
    <t xml:space="preserve">Ordered</t>
  </si>
  <si>
    <t xml:space="preserve">Status</t>
  </si>
  <si>
    <t xml:space="preserve">Ordered as</t>
  </si>
  <si>
    <t xml:space="preserve">Link</t>
  </si>
  <si>
    <t xml:space="preserve">Oz — recipe draw</t>
  </si>
  <si>
    <t xml:space="preserve">Oz — +15% buffer</t>
  </si>
  <si>
    <t xml:space="preserve">OZ TO SOURCE</t>
  </si>
  <si>
    <t xml:space="preserve">…as 12 oz cans</t>
  </si>
  <si>
    <t xml:space="preserve">…as 2 L bottles</t>
  </si>
  <si>
    <t xml:space="preserve">☐</t>
  </si>
  <si>
    <t xml:space="preserve">Jigger (1oz/2oz)</t>
  </si>
  <si>
    <t xml:space="preserve">each</t>
  </si>
  <si>
    <t xml:space="preserve">Total Wine (SF)</t>
  </si>
  <si>
    <t xml:space="preserve">[[ NEEDS VENDOR ASSIGNMENT ]]
ADDED 19 Aug 2026 — equipment carried over from the Supplies checklist that wasn't yet on the shopping list. Pours liquor shots accurately — the only pour control on 27+ bottles of liquor besides the spouts on row 67 (renumbered). Supplies row 5.</t>
  </si>
  <si>
    <t xml:space="preserve">Muddler</t>
  </si>
  <si>
    <t xml:space="preserve">TBD — Walmart/Target (SF or Reno, whichever trip is more convenient)</t>
  </si>
  <si>
    <t xml:space="preserve">ADDED 19 Aug 2026 — equipment carried over from the Supplies checklist that wasn't yet on the shopping list. For the Hard Reset melon-mint muddle and any other built drink that wants one. Supplies row 7.</t>
  </si>
  <si>
    <t xml:space="preserve">Blender (12V or battery)</t>
  </si>
  <si>
    <t xml:space="preserve">ADDED 19 Aug 2026 — equipment carried over from the Supplies checklist that wasn't yet on the shopping list. Monday's Hard Reset (Watermelon-Mint Aqua Fresca) is blended in batches — Jug Build Steps row 7 assumes a small 12V blender, 4-6 rounds. Supplies row 9.</t>
  </si>
  <si>
    <t xml:space="preserve">Cocktail shaker tin (Boston shaker)</t>
  </si>
  <si>
    <t xml:space="preserve">ADDED 19 Aug 2026 — equipment carried over from the Supplies checklist that wasn't yet on the shopping list. General bar equipment, no single recipe depends on it. Supplies row 10.</t>
  </si>
  <si>
    <t xml:space="preserve">Measuring cups (1-4 cup set)</t>
  </si>
  <si>
    <t xml:space="preserve">set</t>
  </si>
  <si>
    <t xml:space="preserve">ADDED 19 Aug 2026 — equipment carried over from the Supplies checklist that wasn't yet on the shopping list. For batching jugs and syrups to spec rather than eyeballing. Supplies row 11.</t>
  </si>
  <si>
    <t xml:space="preserve">Cutting board</t>
  </si>
  <si>
    <t xml:space="preserve">ADDED 19 Aug 2026 — equipment carried over from the Supplies checklist that wasn't yet on the shopping list. Garnish prep — citrus wheels, apple/pear, candied ginger, mint sprigs. Supplies row 13.</t>
  </si>
  <si>
    <t xml:space="preserve">Fine mesh strainer</t>
  </si>
  <si>
    <t xml:space="preserve">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</si>
  <si>
    <t xml:space="preserve">Squeeze bottles (set of 6)</t>
  </si>
  <si>
    <t xml:space="preserve">ADDED 19 Aug 2026 — equipment carried over from the Supplies checklist that wasn't yet on the shopping list. General bar equipment for syrups/juices at the rail. Supplies row 17.</t>
  </si>
  <si>
    <t xml:space="preserve">Garnish caddy (multi-compartment)</t>
  </si>
  <si>
    <t xml:space="preserve">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</si>
  <si>
    <t xml:space="preserve">Bottle opener</t>
  </si>
  <si>
    <t xml:space="preserve">ADDED 19 Aug 2026 — equipment carried over from the Supplies checklist that wasn't yet on the shopping list. For the packaged beer/cider lines (Mexican lager, hard cider, blonde ale). Supplies row 22.</t>
  </si>
  <si>
    <t xml:space="preserve">Laminating pouches / cardstock (dispenser signs)</t>
  </si>
  <si>
    <t xml:space="preserve">ADDED 19 Aug 2026 — equipment carried over from the Supplies checklist that wasn't yet on the shopping list. Materials for the 3x5 dispenser signs (print + laminate before playa) — Supplies row 26, Camp Drinks rows 30-35 have the sign copy ready to print.</t>
  </si>
  <si>
    <t xml:space="preserve">Tres Agaves Bloody Mary Mix (750 ml) — Michelada</t>
  </si>
  <si>
    <t xml:space="preserve">[[ SF — THIS WEEKEND ]]
Michelada — 2.5 oz Bloody Mary Mix + fresh lime, hot sauce retired (see Dirty Soda - Built Drinks row 4). PLANNED FOR THE SF TOTAL WINE RUN 19 Aug 2026 — Tres Agaves brand, same shelf as the Paloma/Margarita mixes below, grab all three together.</t>
  </si>
  <si>
    <t xml:space="preserve">Passion fruit purée — Reàl infused syrup (16.9oz squeeze)</t>
  </si>
  <si>
    <t xml:space="preserve">Bought at Total Wine, 19 Aug 2026 — 2 bottles. The +2 Amazon top-up did not go through; retrying in person at Total Wine this weekend instead.</t>
  </si>
  <si>
    <t xml:space="preserve">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</si>
  <si>
    <t xml:space="preserve">Torani Guava Syrup (25.4oz) — Guavascript</t>
  </si>
  <si>
    <t xml:space="preserve">Amazon</t>
  </si>
  <si>
    <t xml:space="preserve">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t>
  </si>
  <si>
    <t xml:space="preserve">Liquor pour spouts (3-packs)</t>
  </si>
  <si>
    <t xml:space="preserve">coke</t>
  </si>
  <si>
    <t xml:space="preserve">BALTRE-style 6-pack of pourers bought at Total Wine, 19 Aug 2026 — matches the 2x3-pack (6 spout) need exactly.</t>
  </si>
  <si>
    <t xml:space="preserve">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</si>
  <si>
    <t xml:space="preserve">Paloma mixer (33.8oz bottles) — Guavascript</t>
  </si>
  <si>
    <t xml:space="preserve">Tres Agaves Organic Grapefruit Paloma Mix bought at Total Wine, 19 Aug 2026 — 2 bottles.</t>
  </si>
  <si>
    <t xml:space="preserve">Tres Agaves Organic Grapefruit Paloma Mix, 33.8oz — for Guavascript. PLANNED FOR THE SF TOTAL WINE RUN 19 Aug 2026, same shelf as the Margarita mix and the new Bloody Mary mix.</t>
  </si>
  <si>
    <t xml:space="preserve">Margarita mixer (33.8oz bottles) — Localhost</t>
  </si>
  <si>
    <t xml:space="preserve">Tres Agaves Organic Lime Margarita Mix bought at Total Wine, 19 Aug 2026 — 2 bottles.</t>
  </si>
  <si>
    <t xml:space="preserve">Tres Agaves Organic Lime Margarita Mix, 33.8oz — for Localhost. PLANNED FOR THE SF TOTAL WINE RUN 19 Aug 2026, same shelf as the Paloma mix and the new Bloody Mary mix.</t>
  </si>
  <si>
    <t xml:space="preserve">Aloe vera juice (1.5 L, with pulp) — Catboy Snot</t>
  </si>
  <si>
    <t xml:space="preserve">Rainbow Grocery (SF)</t>
  </si>
  <si>
    <t xml:space="preserve">Sat Catboy Snot — 1.5oz/serving (Assumptions B147). DRINKING aloe, inner-fillet/decolorized (OKF Aloe Vera King, Grace, Alo) — NOT whole-leaf or supplement aloe. Separate line from the keg-garnish aloe on row 71.</t>
  </si>
  <si>
    <t xml:space="preserve">Sprite — base soda</t>
  </si>
  <si>
    <t xml:space="preserve">cans</t>
  </si>
  <si>
    <t xml:space="preserve">Costco</t>
  </si>
  <si>
    <t xml:space="preserve">*** UNIT CHANGED — 7.5 oz MINIS, not 12 oz cans. Qty in column D is 12 oz cans and CANNOT be compared to this. Reconcile upstream (Assumptions B7/B157) before trusting the green. ***
5 x 30-pk variety minis -&gt; 50 x 7.5 oz Sprite = 375 oz. Need 304.7 oz. COVERED on volume.</t>
  </si>
  <si>
    <t xml:space="preserve">https://www.costco.com/p/-/coca-cola-mini-variety-pack-75-fl-oz-30-count/100787633?langId=-1</t>
  </si>
  <si>
    <t xml:space="preserve">[[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</si>
  <si>
    <t xml:space="preserve">Coke — base soda</t>
  </si>
  <si>
    <t xml:space="preserve">***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</si>
  <si>
    <t xml:space="preserve">https://www.costco.com/p/-/coca-cola-mini-variety-pack-75-fl-oz-30-count/100787633?langId=-1
https://www.costco.com/p/-/coca-cola-mini-75-fl-oz-30-count/100735424?langId=-1</t>
  </si>
  <si>
    <t xml:space="preserve">Vanilla Cherry Grove only — 4 oz x 130 servings. The single biggest base-soda draw on the bar.</t>
  </si>
  <si>
    <t xml:space="preserve">Dr Pepper — base soda</t>
  </si>
  <si>
    <t xml:space="preserve">Grocery (Reno)</t>
  </si>
  <si>
    <t xml:space="preserve">*** NOT CARRIED AT RENO COSTCO — moved to Grocery (Reno) 14 Aug 2026. *** Still to buy; the mini-can format on Sprite/Fanta/Coke does NOT apply here unless you find minis for this flavour too.</t>
  </si>
  <si>
    <t xml:space="preserve">The Dr's Cream + The Dr's Peach Exam — 4 oz x 80 servings between them.</t>
  </si>
  <si>
    <t xml:space="preserve">Ginger ale — base soda</t>
  </si>
  <si>
    <t xml:space="preserve">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</si>
  <si>
    <t xml:space="preserve">Squirt — base soda</t>
  </si>
  <si>
    <t xml:space="preserve">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</si>
  <si>
    <t xml:space="preserve">Root beer — base soda</t>
  </si>
  <si>
    <t xml:space="preserve">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</si>
  <si>
    <t xml:space="preserve">Lemonade — Kirkland Organic, 96 oz bottles</t>
  </si>
  <si>
    <t xml:space="preserve">96 oz bottles (2-count packs)</t>
  </si>
  <si>
    <t xml:space="preserve">2 x 2-count packs = 4 x 96 oz bottles. Exactly the 4 needed.</t>
  </si>
  <si>
    <t xml:space="preserve">https://www.costco.com/p/-/kirkland-signature-organic-lemonade-96-fl-oz-2-count/100384650?langId=-1</t>
  </si>
  <si>
    <t xml:space="preserve">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</si>
  <si>
    <t xml:space="preserve">Green tea, unsweetened — 12 x 16.9 oz</t>
  </si>
  <si>
    <t xml:space="preserve">2 x 12-packs (16.9 oz). Matches the 2-pack decision; the last gallon is cold-steeped (Assumptions B263).</t>
  </si>
  <si>
    <t xml:space="preserve">https://www.costco.com/p/-/ito-en-oi-ocha-unsweetened-green-tea-169-fl-oz-12-count/100381540?langId=-1</t>
  </si>
  <si>
    <t xml:space="preserve">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</si>
  <si>
    <t xml:space="preserve">Vodka (750ml bottles)</t>
  </si>
  <si>
    <t xml:space="preserve">Costco (Reno) — ordered</t>
  </si>
  <si>
    <t xml:space="preserve">2x Tito's Handmade Vodka (#390352, 1.75L) + 2x Kirkland Signature American Vodka (#639271, 1.75L) = 4 bottles, 236.8 oz total</t>
  </si>
  <si>
    <t xml:space="preserve">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</si>
  <si>
    <t xml:space="preserve">Coconut Rum (750ml bottles)</t>
  </si>
  <si>
    <t xml:space="preserve">1x Malibu Caribbean/Coconut Rum (#36745, 1.75L) = 59.2 oz</t>
  </si>
  <si>
    <t xml:space="preserve">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</si>
  <si>
    <t xml:space="preserve">Bourbon (750ml bottles)</t>
  </si>
  <si>
    <t xml:space="preserve">3x Jim Beam Bourbon (#50252, 1.75L) = 177.6 oz</t>
  </si>
  <si>
    <t xml:space="preserve">*** RENO COSTCO ORDER CONFIRMED 18 Aug 2026: 3x Jim Beam 1.75L. 177.6 oz vs 120.75 oz buffered need — 147% coverage, comfortably MET. Est. cost: $54-$75. ***</t>
  </si>
  <si>
    <t xml:space="preserve">Blanco Tequila (750ml bottles)</t>
  </si>
  <si>
    <t xml:space="preserve">7x Cazadores Blanco Tequila (#233367, 1.0L) = 236.6 oz</t>
  </si>
  <si>
    <t xml:space="preserve">***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</si>
  <si>
    <t xml:space="preserve">Spiced Rum (750ml bottles)</t>
  </si>
  <si>
    <t xml:space="preserve">2x Captain Morgan Spiced Rum (#59717, 1.75L) = 118.4 oz</t>
  </si>
  <si>
    <t xml:space="preserve">*** RENO COSTCO ORDER CONFIRMED 18 Aug 2026: 2x Captain Morgan 1.75L. 118.4 oz vs 44.1 oz buffered need — 269% coverage, comfortably MET (only ~1 bottle was strictly needed; 2 gives a deep surplus). Est. cost: $39-$46. ***</t>
  </si>
  <si>
    <t xml:space="preserve">Whiskey (750ml bottles)</t>
  </si>
  <si>
    <t xml:space="preserve">2x Kirkland Signature Canadian Whisky (#888870, 1.75L) = 118.4 oz</t>
  </si>
  <si>
    <t xml:space="preserve">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</si>
  <si>
    <t xml:space="preserve">Tajin (rim salt) — Michelada + Ginger's Pickle</t>
  </si>
  <si>
    <t xml:space="preserve">shakers</t>
  </si>
  <si>
    <t xml:space="preserve">Was a flat $20 set; now sized from every rimmed drink — Michelada, A Ginger's Pickle, Catboy Piss and Shirley Temple of Doom.</t>
  </si>
  <si>
    <t xml:space="preserve">Hard cider — 12-packs (12 oz cans)</t>
  </si>
  <si>
    <t xml:space="preserve">Costco (Reno) — ordered, partial</t>
  </si>
  <si>
    <t xml:space="preserve">5x Golden State Cider Vty Pk (#2072435, 12 x 16 oz cans) = 960 oz</t>
  </si>
  <si>
    <t xml:space="preserve">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</si>
  <si>
    <t xml:space="preserve">Mexican lager — 24-packs (12 oz cans) (Modelo)</t>
  </si>
  <si>
    <t xml:space="preserve">3x Modelo Especial Cans, 24-pack (#128935, 12 oz cans) = 864 oz / 72 cans</t>
  </si>
  <si>
    <t xml:space="preserve">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</si>
  <si>
    <t xml:space="preserve">Watermelon (whole — blend &amp; strain for Mon fresca)</t>
  </si>
  <si>
    <t xml:space="preserve">melons</t>
  </si>
  <si>
    <t xml:space="preserve">MONDAY ONLY. These are for the Hard Reset fresca and nothing else — the Watermelon Sugar High now takes carton juice off row 88, so do not plan on the melons stretching across the week. They travel fine unrefrigerated but they are gone by Tuesday.</t>
  </si>
  <si>
    <t xml:space="preserve">Agave syrup (36oz) — jug frescas</t>
  </si>
  <si>
    <t xml:space="preserve">2 x (2 x 36 oz) packs = 4 bottles TOTAL, shared with row 38 (SCOBY Mule). 3 needed across both rows, 4 bought.</t>
  </si>
  <si>
    <t xml:space="preserve">https://www.costco.com/p/-/kirkland-signature-organic-blue-agave-36-oz-2-count/100381407?langId=-1</t>
  </si>
  <si>
    <t xml:space="preserve">Mon Hard Reset + Wed Red Flag (Daily Schedule row 19)
[Buyer note carried over from the old scratch column: Christophe]</t>
  </si>
  <si>
    <t xml:space="preserve">cartons</t>
  </si>
  <si>
    <t xml:space="preserve">*** VENDOR CHECK 13 Aug 2026: FORMAT MISMATCH: Costco has NO 64 oz OJ carton. Warehouse packs are Tropicana 46 oz x 3 (#1731084) or 96 oz x 2. Re-check the carton count against whichever pack he actually buys. ***</t>
  </si>
  <si>
    <t xml:space="preserve">Pineapple juice — Dole 24 x 8 oz</t>
  </si>
  <si>
    <t xml:space="preserve">packs (24 x 8 oz)</t>
  </si>
  <si>
    <t xml:space="preserve">1 pack = 24 x 8 oz = 192 oz. Thursday jug needs 94.9 oz — covered with 97 oz spare, which hands out cold.</t>
  </si>
  <si>
    <t xml:space="preserve">https://www.costco.com/p/-/dole-100-pineapple-juice-8-fl-oz-24-count/4000243671?langId=-1</t>
  </si>
  <si>
    <t xml:space="preserve">Limes (5lb bag)</t>
  </si>
  <si>
    <t xml:space="preserve">bag</t>
  </si>
  <si>
    <t xml:space="preserve">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</si>
  <si>
    <t xml:space="preserve">Ground cinnamon + rim sugar</t>
  </si>
  <si>
    <t xml:space="preserve">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t>
  </si>
  <si>
    <t xml:space="preserve">Grapefruit (paloma wheels) — RETIRED 21 Aug 2026, no garnish on Sour Ale</t>
  </si>
  <si>
    <t xml:space="preserve">RETIRED 21 Aug 2026 — Sour Ale now goes out with no garnish, same as the Radler already does (dropped 10 Aug 2026). Reads $0/0 on purpose; do not buy.</t>
  </si>
  <si>
    <t xml:space="preserve">Apples &amp; pears (cider slices)</t>
  </si>
  <si>
    <t xml:space="preserve">Cider keg garnish. REPRICED: Cosmic Crisp 5 lb $7.79-9.69 and Bartlett pears 4 lb $4.99 — about $0.70 a fruit, but bag minimums mean ~$13 regardless of needing only 8.</t>
  </si>
  <si>
    <t xml:space="preserve">Limes, whole (fresh juice) — Michelada &amp; Tang Dynasty</t>
  </si>
  <si>
    <t xml:space="preserve">0.5oz per Michelada (Recipes I4) + 0.5oz per Tang Dynasty (Assumptions B113)</t>
  </si>
  <si>
    <t xml:space="preserve">Hot sauce (12oz bottles) — Michelada</t>
  </si>
  <si>
    <t xml:space="preserve">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</si>
  <si>
    <t xml:space="preserve">Orange juice (64oz cartons) — Catboy Café build</t>
  </si>
  <si>
    <t xml:space="preserve">***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</si>
  <si>
    <t xml:space="preserve">Limes, whole (fresh juice) </t>
  </si>
  <si>
    <t xml:space="preserve">Fuzz Test 0.5oz (built drinks row 12) + Shirley Temple of Doom 0.5oz (row 17) + Shirley Mule 0.5oz (Assumptions B154)</t>
  </si>
  <si>
    <t xml:space="preserve">Apple cider vinegar (32oz) — SCOBY Mule</t>
  </si>
  <si>
    <t xml:space="preserve">0.25oz per serving (Assumptions B128)</t>
  </si>
  <si>
    <t xml:space="preserve">Agave syrup (36oz) — SCOBY Mule</t>
  </si>
  <si>
    <t xml:space="preserve">From the same 4 bottles bought on row 25.</t>
  </si>
  <si>
    <t xml:space="preserve">0.25oz per serving (Assumptions B131)</t>
  </si>
  <si>
    <t xml:space="preserve">Celsius energy drinks</t>
  </si>
  <si>
    <t xml:space="preserve">2 x 18 Vibe variety + 2 x 18 Core variety = 72 cans. Need 48 — over by 24.</t>
  </si>
  <si>
    <t xml:space="preserve">https://www.costco.com/p/-/celsius-vibe-energy-drink-variety-pack-12-fl-oz-18-count/4000448713?langId=-1
https://www.costco.com/p/-/celsius-sparkling-energy-drink-core-variety-pack-12-fl-oz-18-count/4000387897?langId=-1</t>
  </si>
  <si>
    <t xml:space="preserve">Camper stock, not bar service. Qty is TOTAL CANS — buy whatever pack size the shop has.
[Buyer note carried over from the old scratch column: Christophe]</t>
  </si>
  <si>
    <t xml:space="preserve">White Claw or equivalent hard seltzer</t>
  </si>
  <si>
    <t xml:space="preserve">Costco (Reno) — ordered, plus bonus</t>
  </si>
  <si>
    <t xml:space="preserve">3x White Claw 24-pack (#1359921, 72 cans) + 3x High Noon 18-pack (#1745275, 54 cans) = 126 cans</t>
  </si>
  <si>
    <t xml:space="preserve">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</si>
  <si>
    <t xml:space="preserve">Spindrift sparkling water</t>
  </si>
  <si>
    <t xml:space="preserve">*** SPINDRIFT IS LISTED TWICE IN THE ORDER, SAME URL — "3 x (30 pack)" and "3 of the normal spindrift pack". Entered as 3 packs = 90 cans. IF IT IS REALLY 6 PACKS (180 cans) THIS IS A LARGE OVER-BUY. CONFIRM. ***</t>
  </si>
  <si>
    <t xml:space="preserve">https://www.costco.com/p/-/spindrift-sparkling-water-12-fl-oz-30-count/4000410048?langId=-1</t>
  </si>
  <si>
    <t xml:space="preserve">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</si>
  <si>
    <t xml:space="preserve">https://www.costco.com/p/-/starbucks-caramel-macchiato-creamer-58-fl-oz/100750271?langId=-1</t>
  </si>
  <si>
    <t xml:space="preserve">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</si>
  <si>
    <t xml:space="preserve">Lemon juice, bottled (48oz) — Sat &amp; Sun peach-tea jugs</t>
  </si>
  <si>
    <t xml:space="preserve">1 pair = 2 x 48 oz ReaLemon = 96 oz. Requirement re-rounded to 1 bottle once Assumptions B227 went to 48, so this is DOUBLE what the jugs need — the spare backs the fresh/bottled bartender choice on the main instruction card.</t>
  </si>
  <si>
    <t xml:space="preserve">https://www.costco.com/p/-/realemon-lemon-juice-48-fl-oz-2-count/100381476?langId=-1</t>
  </si>
  <si>
    <t xml:space="preserve">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</si>
  <si>
    <t xml:space="preserve">Mountain Dew — camper stock</t>
  </si>
  <si>
    <t xml:space="preserve">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</si>
  <si>
    <t xml:space="preserve">Beverage dispensers, 10 L (with spigot)</t>
  </si>
  <si>
    <t xml:space="preserve">Owned (1, already bought) + Reno Walmart (2 more, MAYBE — check camp stock first)</t>
  </si>
  <si>
    <t xml:space="preserve">1x dispenser bought outright 19 Aug 2026.</t>
  </si>
  <si>
    <t xml:space="preserve">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19 Aug 2026: 1 bought outright. The other 2 are a MAYBE, not a firm plan — you're not sure if camp already owns dispensers, so don't buy blind; check camp inventory first, and only then pick up the remaining 2 at Reno Walmart if they're actually still needed.</t>
  </si>
  <si>
    <t xml:space="preserve">Aloe vera drinks (Green Tea Refresher)</t>
  </si>
  <si>
    <t xml:space="preserve">servings</t>
  </si>
  <si>
    <t xml:space="preserve">Asian Grocery</t>
  </si>
  <si>
    <t xml:space="preserve">Sour ale — 6-packs (straight pours only)</t>
  </si>
  <si>
    <t xml:space="preserve">6-packs</t>
  </si>
  <si>
    <t xml:space="preserve">Reno BevMo — TBD (no Costco match)</t>
  </si>
  <si>
    <t xml:space="preserve">PLANNED: no matching SKU on the Costco Reno availability list (checked 18 Aug 2026 — every packaged beer/cider/seltzer item on that list was style-checked; none is a true sour/kettle-sour ale). Source separately from Reno BevMo or a Reno-area brewery/bottle shop.</t>
  </si>
  <si>
    <t xml:space="preserve">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t>
  </si>
  <si>
    <t xml:space="preserve">Blonde ale — 6-packs (12 oz cans)</t>
  </si>
  <si>
    <t xml:space="preserve">2x Firestone Walker 805 Blonde Ale, 24-pack (#687160, 12 oz BOTTLES) = 576 oz / 48 bottles</t>
  </si>
  <si>
    <t xml:space="preserve">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t>
  </si>
  <si>
    <t xml:space="preserve">Soda water / sparkling water</t>
  </si>
  <si>
    <t xml:space="preserve">1 L bottles</t>
  </si>
  <si>
    <t xml:space="preserve">Walmart / Grocery (Reno)</t>
  </si>
  <si>
    <t xml:space="preserve">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</si>
  <si>
    <t xml:space="preserve">Kombucha — Brew Dr. variety packs (6 x 14 oz: Clear Mind / Island Mango / Superberry)</t>
  </si>
  <si>
    <t xml:space="preserve">variety packs</t>
  </si>
  <si>
    <t xml:space="preserve">5 x Brew Dr. variety packs (6 x 14 oz). Matches the sizing on Packaged Sizing section 7.</t>
  </si>
  <si>
    <t xml:space="preserve">https://www.costco.com/p/-/brew-dr-organic-raw-kombucha-variety-pack-14-fl-oz-6-count/100713017?langId=-1</t>
  </si>
  <si>
    <t xml:space="preserve">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</si>
  <si>
    <t xml:space="preserve">Ginger beer (12oz cans) — Kombucha Mule</t>
  </si>
  <si>
    <t xml:space="preserve">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</si>
  <si>
    <t xml:space="preserve">Tangerine juice (52oz bottles)</t>
  </si>
  <si>
    <t xml:space="preserve">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</si>
  <si>
    <t xml:space="preserve">Fresh mint (bunches)</t>
  </si>
  <si>
    <t xml:space="preserve">bunches</t>
  </si>
  <si>
    <t xml:space="preserve">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</si>
  <si>
    <t xml:space="preserve">Fresh basil (bunches)</t>
  </si>
  <si>
    <t xml:space="preserve">Tang Dynasty alternate leaf</t>
  </si>
  <si>
    <t xml:space="preserve">Pickles, 32oz jars (brine + spears)</t>
  </si>
  <si>
    <t xml:space="preserve">jars</t>
  </si>
  <si>
    <t xml:space="preserve">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</si>
  <si>
    <t xml:space="preserve">Lemons, whole (fresh) — OPTIONAL, bartender choice</t>
  </si>
  <si>
    <t xml:space="preserve">OPTIONAL top-up buy in Reno. Not required by any recipe — bottled covers everything. Buy a few if you want the fresh option available.</t>
  </si>
  <si>
    <t xml:space="preserve">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</si>
  <si>
    <t xml:space="preserve">Fresh sage (bunches)</t>
  </si>
  <si>
    <t xml:space="preserve">Clear Cache garnish — slapped leaf per drink</t>
  </si>
  <si>
    <t xml:space="preserve">Bar add-ons (tonic, soda water, ginger beer, bitters, Red Bull, coconut water)</t>
  </si>
  <si>
    <t xml:space="preserve">*** PARTIAL. *** Of this set, the Costco run covers RED BULL (1 x 24 regular + 1 x 24 Yellow/Tropical = 48, exactly the split on Bar Add-Ons row 14) and COCONUT WATER (2 x 18 Vita Coco = 36, exactly as sized). STILL OUTSTANDING: tonic, soda water, ginger beer, bitters.</t>
  </si>
  <si>
    <t xml:space="preserve">https://www.costco.com/p/-/red-bull-energy-drink-84-fl-oz-24-count/100368228?langId=-1
https://www.costco.com/p/-/red-bull-energy-drink-tropical-84-fl-oz-24-count/100696936?langId=-1
https://www.costco.com/p/-/vita-coco-coconut-water-111-fl-oz-18-count/100411697?langId=-1</t>
  </si>
  <si>
    <t xml:space="preserve">Itemized on the Bar Add-Ons tab
[Buyer note carried over from the old scratch column: Christophe]</t>
  </si>
  <si>
    <t xml:space="preserve">Tangerine juice, quarts — camp ration (RATION IT)</t>
  </si>
  <si>
    <t xml:space="preserve">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</si>
  <si>
    <t xml:space="preserve">Ginger beer — camper stock</t>
  </si>
  <si>
    <t xml:space="preserve">Camper stock, not bar service. SEPARATE from row 78 (the Kombucha Mule build) and from the mixer buffer on 'Bar Add-Ons' row 9 — three pools on purpose, so camp stock does not drink the bar's mixers. Qty is TOTAL CANS — buy whatever pack size the shop has.</t>
  </si>
  <si>
    <t xml:space="preserve">Watermelon juice (1 L cartons) </t>
  </si>
  <si>
    <t xml:space="preserve">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</si>
  <si>
    <t xml:space="preserve">Orange Fanta — base soda</t>
  </si>
  <si>
    <t xml:space="preserve">*** UNIT CHANGED — 7.5 oz MINIS, not 12 oz cans. Qty in column D is 12 oz cans and CANNOT be compared to this. Reconcile upstream (Assumptions B7/B157) before trusting the green. ***
5 x 30-pk variety minis -&gt; 50 x 7.5 oz Fanta = 375 oz. Need 230 oz. COVERED on volume, comfortably.</t>
  </si>
  <si>
    <t xml:space="preserve">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</si>
  <si>
    <t xml:space="preserve">Base soda — 2 L bottles (Sprite — Sunday Cherry Bomb jug)</t>
  </si>
  <si>
    <t xml:space="preserve">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</si>
  <si>
    <t xml:space="preserve">Cranberry juice (48oz bottles)</t>
  </si>
  <si>
    <t xml:space="preserve">48oz bottles</t>
  </si>
  <si>
    <t xml:space="preserve">Reno BevMo</t>
  </si>
  <si>
    <t xml:space="preserve">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</si>
  <si>
    <t xml:space="preserve">Tomato juice / V8 (46oz bottles) — Michelada, OPTIONAL</t>
  </si>
  <si>
    <t xml:space="preserve">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</si>
  <si>
    <t xml:space="preserve">Rice Dream Horchata, 32oz (Pack of 6) — Whore-chata jug + non-dairy creamer</t>
  </si>
  <si>
    <t xml:space="preserve">bottles (2 packs of 6)</t>
  </si>
  <si>
    <t xml:space="preserve">Rice Dream Horchata, 2 packs of 6, confirmed ordered 19 Aug 2026.</t>
  </si>
  <si>
    <t xml:space="preserve">[[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</si>
  <si>
    <t xml:space="preserve">Torani syrups (all flavors)</t>
  </si>
  <si>
    <t xml:space="preserve">Amazon (21) + already owned (6, variety pack)</t>
  </si>
  <si>
    <t xml:space="preserve">21 (Peach/Vanilla/Cherry, 7 each) confirmed ordered on Amazon + 6 flexible Italian Soda bottles covered by a variety mix set already purchased/on hand, per your 19 Aug 2026 note.</t>
  </si>
  <si>
    <t xml:space="preserve">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</si>
  <si>
    <t xml:space="preserve">Cream of coconut (16.9oz squeeze bottles)</t>
  </si>
  <si>
    <t xml:space="preserve">Cream of coconut, confirmed ordered 19 Aug 2026.</t>
  </si>
  <si>
    <t xml:space="preserve">Sakura + orange syrup (Sat Catboy Café add-on)</t>
  </si>
  <si>
    <t xml:space="preserve">Confirmed ordered on Amazon, 19 Aug 2026 (Floral Elixir Cherry Blossom + Torani Orange).</t>
  </si>
  <si>
    <t xml:space="preserve">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</si>
  <si>
    <t xml:space="preserve">Fee Brothers Cherry Bitters (5 oz)</t>
  </si>
  <si>
    <t xml:space="preserve">Fee Brothers Cherry Bitters, confirmed ordered 19 Aug 2026.</t>
  </si>
  <si>
    <t xml:space="preserve">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</si>
  <si>
    <t xml:space="preserve">Blue spirulina powder</t>
  </si>
  <si>
    <t xml:space="preserve">jar</t>
  </si>
  <si>
    <t xml:space="preserve">Suggested pick: Biofunctionals Blue Spirulina Powder, 1oz — $9.99</t>
  </si>
  <si>
    <t xml:space="preserve">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</si>
  <si>
    <t xml:space="preserve">Suggested pick: Rose's Lime Juice, SWEETENED, 33.8oz (1L) Pack of 2 — $24.56</t>
  </si>
  <si>
    <t xml:space="preserve">***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</si>
  <si>
    <t xml:space="preserve">Bought at Total Wine, 19 Aug 2026. Qty assumed to match the 2-jar need since no count was given — correct me if it was a different amount.</t>
  </si>
  <si>
    <t xml:space="preserve">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</si>
  <si>
    <t xml:space="preserve">Cold brew coffee grounds — ground, coarse if possible</t>
  </si>
  <si>
    <t xml:space="preserve">7 x 2lb bags, ground, $23.99/bag = $167.93 total for 14 lb — same order as before, reconfirmed 19 Aug 2026.</t>
  </si>
  <si>
    <t xml:space="preserve">SWITCHED FROM WHOLE BEAN TO GROUND 18 Aug 2026 — no grinder on the truck, so this closes the flag from earlier the same day. RATIO CORRECTED 21 Aug 2026: brewed directly at full strength in the full daily volume, no concentrate/dilution step (an earlier note describing a concentrate-then-cut-1:1 method was a faulty assumption and has been removed). 0.5 lb/gal (Assumptions B83, confirmed by the user: 1.5 lb grounds in 3 gal water)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increase the grounds next batch rather than assuming the ratio here is unusable.</t>
  </si>
  <si>
    <t xml:space="preserve">Electrolyte mix (powder)</t>
  </si>
  <si>
    <t xml:space="preserve">Confirmed included in the most recent Amazon order, 19 Aug 2026.</t>
  </si>
  <si>
    <t xml:space="preserve">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</si>
  <si>
    <t xml:space="preserve">Lapsang souchong loose leaf (Smoke Test)</t>
  </si>
  <si>
    <t xml:space="preserve">bags</t>
  </si>
  <si>
    <t xml:space="preserve">Lapsang souchong, confirmed ordered 19 Aug 2026.</t>
  </si>
  <si>
    <t xml:space="preserve">Tue Smoke Test — ~2oz dry leaf per jug (Assumptions B142) *** PART OF THIS IS SPOKEN FOR BY THE DAILY TEA STANDING TEA (Assumptions B252-B255) — do not reallocate the spare without checking there. ***</t>
  </si>
  <si>
    <t xml:space="preserve">Dried hibiscus flowers (Red Flag)</t>
  </si>
  <si>
    <t xml:space="preserve">lb bags</t>
  </si>
  <si>
    <t xml:space="preserve">Confirmed ordered on Amazon, 19 Aug 2026.</t>
  </si>
  <si>
    <t xml:space="preserve">Wed Red Flag — agua de Jamaica *** PART OF THIS IS SPOKEN FOR BY THE DAILY TEA STANDING TEA (Assumptions B252-B255) — do not reallocate the spare without checking there. ***</t>
  </si>
  <si>
    <t xml:space="preserve">Winter melon tea blocks (dong gua cha)</t>
  </si>
  <si>
    <t xml:space="preserve">Winter melon tea, confirmed ordered 19 Aug 2026 — qty assumed to match the 4-unit need since no specific count was given; correct me if it's actually a different amount.</t>
  </si>
  <si>
    <t xml:space="preserve">REPLACED SUAN MEI TANG. This is the exact product flagged during the original research (13.1oz Sun Right). Yield estimate (~1.3 gal/unit) is still unconfirmed against the real product's own instructions — check once it arrives.</t>
  </si>
  <si>
    <t xml:space="preserve">Mugicha teabags (roasted barley tea)</t>
  </si>
  <si>
    <t xml:space="preserve">Camp drink — 5 gal, unsweetened</t>
  </si>
  <si>
    <t xml:space="preserve">Green tea teabags (iced, unsweetened)</t>
  </si>
  <si>
    <t xml:space="preserve">Confirmed ordered on Amazon, 19 Aug 2026 (TAZO Organic Zen — still flavored, not plain, see notes).</t>
  </si>
  <si>
    <t xml:space="preserve">***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</si>
  <si>
    <t xml:space="preserve">Food-safe containers, 1 gallon (sealed)</t>
  </si>
  <si>
    <t xml:space="preserve">1 x 3-count Cambro 4 qt pack. Exactly the 3 needed — and they now hold cold brew nightly.</t>
  </si>
  <si>
    <t xml:space="preserve">https://www.costco.com/p/-/cambro-round-4-quart-food-storage-container-with-lid-3-count/100577351?langId=-1</t>
  </si>
  <si>
    <t xml:space="preserve">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</si>
  <si>
    <t xml:space="preserve">Yuzu juice (13oz bottles) — Clear Cache</t>
  </si>
  <si>
    <t xml:space="preserve">Yuzu juice, confirmed ordered 19 Aug 2026.</t>
  </si>
  <si>
    <t xml:space="preserve">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</si>
  <si>
    <t xml:space="preserve">Strainer bags, 5 gal (cold brew + tea steeping)</t>
  </si>
  <si>
    <t xml:space="preserve">Nut Milk Bags (strainer bag equivalent), confirmed ordered 19 Aug 2026.</t>
  </si>
  <si>
    <t xml:space="preserve">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</si>
  <si>
    <t xml:space="preserve">Ladles (stainless steel, for jug dispensers)</t>
  </si>
  <si>
    <t xml:space="preserve">Ladles, confirmed ordered 19 Aug 2026.</t>
  </si>
  <si>
    <t xml:space="preserve">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</si>
  <si>
    <t xml:space="preserve">Fee Brothers Habanero Bitters (5 oz)</t>
  </si>
  <si>
    <t xml:space="preserve">Fee Brothers Habanero Bitters, confirmed ordered 19 Aug 2026.</t>
  </si>
  <si>
    <t xml:space="preserve">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</si>
  <si>
    <t xml:space="preserve">Boudan Melon Syrup (21.3 oz) — Catboy Snot</t>
  </si>
  <si>
    <t xml:space="preserve">ADDED 18 Aug 2026, split off the pooled Torani line (row 47) — Marjan Boudan Melon Syrup, confirmed real and on Amazon. Catboy Snot's only syrup draw (12.5 oz raw / 14.4 oz buffered), comfortably inside one 21.3 oz bottle. Price ($10) is an unchecked estimate — confirm at checkout.</t>
  </si>
  <si>
    <t xml:space="preserve">Storage containers, 68oz (bulk garnish/fruit prep)</t>
  </si>
  <si>
    <t xml:space="preserve">Storage containers, confirmed ordered 19 Aug 2026.</t>
  </si>
  <si>
    <t xml:space="preserve">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</si>
  <si>
    <t xml:space="preserve">Fee Brothers Old Fashion Bitters (5oz) — BONUS, no recipe tie</t>
  </si>
  <si>
    <t xml:space="preserve">Fee Brothers Old Fashion Bitters, confirmed ordered 19 Aug 2026.</t>
  </si>
  <si>
    <t xml:space="preserve">ADDED 18 Aug 2026, unplanned bonus alongside the Cherry (row 51) and Habanero (row 95) bitters — no drink on the menu calls for it specifically. Extra variety for the 'Bitwise' soda + bitters build (Bar Add-Ons row 27, currently Angostura) or general bar use.</t>
  </si>
  <si>
    <t xml:space="preserve">Vodka (1.75L handles) — Secret Party</t>
  </si>
  <si>
    <t xml:space="preserve">handles</t>
  </si>
  <si>
    <t xml:space="preserve">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</si>
  <si>
    <t xml:space="preserve">Cranberry juice (64oz jugs) — Secret Party</t>
  </si>
  <si>
    <t xml:space="preserve">Feeds Vodka Cranberry only, Secret Party (Assumptions row 280/287). UNCHECKED product/price — confirm at checkout.</t>
  </si>
  <si>
    <t xml:space="preserve">Orange juice (64oz cartons) — Secret Party</t>
  </si>
  <si>
    <t xml:space="preserve">Feeds the Screwdriver only, Secret Party (Assumptions row 281/288) — a fresh draw, separate from the retired Catboy Café OJ line (row 50, now $0 on purpose).</t>
  </si>
  <si>
    <t xml:space="preserve">ESTIMATED TOTAL</t>
  </si>
  <si>
    <t xml:space="preserve">Supplies — Non-Consumable Bar Equipment</t>
  </si>
  <si>
    <t xml:space="preserve">One-time gear, not consumed per-drink — pack it once, reuse every year. People bring their own cups, so no cups/straws here. Check off as you pack/buy.</t>
  </si>
  <si>
    <t xml:space="preserve">Used For</t>
  </si>
  <si>
    <t xml:space="preserve">Precise pours: syrups, pickle juice and yuzu juice on every built drink.</t>
  </si>
  <si>
    <t xml:space="preserve">Amazon / Restaurant Supply</t>
  </si>
  <si>
    <t xml:space="preserve">☑</t>
  </si>
  <si>
    <t xml:space="preserve">Bar spoon (long)</t>
  </si>
  <si>
    <t xml:space="preserve">Stir/layer all soda builds; dissolve agave in the SCOBY Mule.</t>
  </si>
  <si>
    <t xml:space="preserve">Watermelon Sugar High (fresh mint); SCOBY Mule (agave into the kombucha).</t>
  </si>
  <si>
    <t xml:space="preserve">Whisk</t>
  </si>
  <si>
    <t xml:space="preserve">Whore-chata (rice-milk base + cinnamon/vanilla syrup); smooth out coconut cream before batching.</t>
  </si>
  <si>
    <t xml:space="preserve">Camp kitchen (check first)</t>
  </si>
  <si>
    <t xml:space="preserve">Blend watermelon (+mint) for the MONDAY fresca; froth coconut-cream builds. Monday only — the Watermelon Sugar High takes carton juice now and never touches the blender.</t>
  </si>
  <si>
    <t xml:space="preserve">Amazon (playa-power 12V/battery)</t>
  </si>
  <si>
    <t xml:space="preserve">Quick-shake creamy builds (Shirley got Creamed, Orange Cream-sicle, The Dr's Cream/Peach Exam) without tying up the blender.</t>
  </si>
  <si>
    <t xml:space="preserve">Batch horchata base and the cinnamon/vanilla syrup mix ahead of rush. (Lemonade left this line 14 Aug 2026 — it is bought ready-to-drink now.)</t>
  </si>
  <si>
    <t xml:space="preserve">Citrus juicer/reamer</t>
  </si>
  <si>
    <t xml:space="preserve">Lime squeezes only — Tang Dynasty, the Michelada and the Shirley variants. No lemons on the bar any more; the yuzu is bottled.</t>
  </si>
  <si>
    <t xml:space="preserve">Garnish prep: citrus wheels, apple/pear, candied ginger, mint sprigs.</t>
  </si>
  <si>
    <t xml:space="preserve">Paring knife</t>
  </si>
  <si>
    <t xml:space="preserve">Same garnish prep as cutting board.</t>
  </si>
  <si>
    <t xml:space="preserve">Strain the blended watermelon for the Monday fresca, and the muddled mint out of the Watermelon Sugar High if anyone is fussy. That drink has no pulp to strain any more — its juice comes out of a carton.</t>
  </si>
  <si>
    <t xml:space="preserve">Rimming plate / shallow dish</t>
  </si>
  <si>
    <t xml:space="preserve">Tajin rim for the Michelada, A Ginger's Pickle, Catboy Piss and Shirley Temple of Doom.</t>
  </si>
  <si>
    <t xml:space="preserve">Behind-bar syrup + pickle juice control, refilled from stock bottles.</t>
  </si>
  <si>
    <t xml:space="preserve">Ice scoop</t>
  </si>
  <si>
    <t xml:space="preserve">Sanitary ice service for every drink.</t>
  </si>
  <si>
    <t xml:space="preserve">Cooler / ice bin</t>
  </si>
  <si>
    <t xml:space="preserve">Holds ice; keeps batched jugs and squeeze bottles cold during service. REMOVED 22 Aug 2026 — dropped the separate ice-bath tub purchase (Purchase List), since existing coolers already cover this.</t>
  </si>
  <si>
    <t xml:space="preserve">Bar mat / spill mat</t>
  </si>
  <si>
    <t xml:space="preserve">Catches drips at the build station.</t>
  </si>
  <si>
    <t xml:space="preserve">Holds prepped citrus wheels, mint, cinnamon, Tajín, pickle spears streamside.</t>
  </si>
  <si>
    <t xml:space="preserve">Bottled kombucha, ginger beer and mixers. No keg couplers needed any more.</t>
  </si>
  <si>
    <t xml:space="preserve">Beverage dispenser, 10 L (with spigot)</t>
  </si>
  <si>
    <t xml:space="preserve">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</si>
  <si>
    <t xml:space="preserve">Food-safe container, 1 gallon (sealed)</t>
  </si>
  <si>
    <t xml:space="preserve">COLD BREW — the real job as of 14 Aug 2026, brewed directly at full volume (no concentrate/dilution step, corrected 21 Aug 2026 — the earlier concentrate-then-cut-1:1 note was a faulty assumption). ~3 gal steeping overnight EVERY night for eight days (Camp Drinks row 6), which is the only thing on this list that needs a sealed vessel daily. *** FLAG: this is double the volume the container count below was originally sized for (was ~1.5gal/night under the old concentrate assumption) — re-check whether 3 x 1-gallon containers is still enough for a direct 3gal steep, especially Wednesday when Red Flag also wants reserve capacity. *** Do NOT drop these: the lemonade left this line when it went ready-to-drink, but cold brew replaced it and is a harder requirement — lemonade was one session, this is nightly.</t>
  </si>
  <si>
    <t xml:space="preserve">Resealable fruit containers (set of 6)</t>
  </si>
  <si>
    <t xml:space="preserve">Prepped garnish storage — lime and herbs, one container each plus a spare. Keeps cut fruit out of the dust and stops it drying out between rushes. Prep Friday night for the Saturday stack.</t>
  </si>
  <si>
    <t xml:space="preserve">Dispenser signs, 3 x 5 (printed + laminated)</t>
  </si>
  <si>
    <t xml:space="preserve">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</si>
  <si>
    <t xml:space="preserve">Print before playa / laminate</t>
  </si>
  <si>
    <t xml:space="preserve">Liquor pour spouts (2 x 3-pack)</t>
  </si>
  <si>
    <t xml:space="preserve">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</si>
  <si>
    <t xml:space="preserve">BevMo / Amazon / Restaurant Supply</t>
  </si>
  <si>
    <t xml:space="preserve">Strainer bags, 5 gal (fine mesh / paint strainer)</t>
  </si>
  <si>
    <t xml:space="preserve">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</si>
  <si>
    <t xml:space="preserve">Amazon / hardware store</t>
  </si>
  <si>
    <t xml:space="preserve">Daily Prep Schedule — what has to happen, day by day</t>
  </si>
  <si>
    <t xml:space="preserve">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</si>
  <si>
    <t xml:space="preserve">Tonight's jug</t>
  </si>
  <si>
    <t xml:space="preserve"># jugs</t>
  </si>
  <si>
    <t xml:space="preserve">Cold brew (gal)</t>
  </si>
  <si>
    <t xml:space="preserve">Electrolytes (gal)</t>
  </si>
  <si>
    <t xml:space="preserve">Also brew today</t>
  </si>
  <si>
    <t xml:space="preserve">PREP AHEAD — do today for tomorrow</t>
  </si>
  <si>
    <t xml:space="preserve">DAILY INSTRUCTIONS — brief the bar before service</t>
  </si>
  <si>
    <t xml:space="preserve">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</si>
  <si>
    <t xml:space="preserve">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</si>
  <si>
    <t xml:space="preserve">Cold-steep the dried hibiscus overnight for Wednesday's two jugs — still the biggest single prep of the week.</t>
  </si>
  <si>
    <t xml:space="preserve">HARD RESET has to be BLENDED AND STRAINED, not just blended. Slower than it looks — start before service, not during. Fill with STILL water, no tonic; a soda-water splash per cup if someone wants fizz. Optional Blanco Tequila turns it into a watermelon margarita.</t>
  </si>
  <si>
    <t xml:space="preserve">Nothing heavy. Check ice and cooler levels before the Wednesday push.</t>
  </si>
  <si>
    <t xml:space="preserve">SMOKE TEST — TASTE IT BEFORE IT GOES OUT. Lapsang runs from 'campfire' to 'ashtray' fast. If the overnight steep has gone over, cut it with more lemonade until it is drinkable. Build is 5 oz strong tea + 3 oz lemonade + 0.5 oz lime. Naturally still, so nothing is going flat on you.</t>
  </si>
  <si>
    <t xml:space="preserve">Winter melon tea — first half of the batch</t>
  </si>
  <si>
    <t xml:space="preserve">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</si>
  <si>
    <t xml:space="preserve">Mugicha — cold-steep overnight, first half</t>
  </si>
  <si>
    <t xml:space="preserve">GRENADINE GOES IN THE CUP, NOT THE JUG. It sinks, and that sinking IS the sunrise gradient — batch it into the jug and you get flat orange sludge. Juice is deliberately cut to 7 oz per serving so it is not pure sugar in the heat.</t>
  </si>
  <si>
    <t xml:space="preserve">Winter melon tea — second half</t>
  </si>
  <si>
    <t xml:space="preserve">*** THE BIG ONE. Prep EVERYTHING for Saturday tonight: hydrate the basil seeds, portion the aloe, cut and box all garnishes, cold-steep ~10 green teabags in ~2 gal for tomorrow’s jug, pre-portion the sakura syrup. ***</t>
  </si>
  <si>
    <t xml:space="preserve">***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</si>
  <si>
    <t xml:space="preserve">Mugicha — second half</t>
  </si>
  <si>
    <t xml:space="preserve">Cold-steep a SECOND ~2 gal of green tea for the closing Sunday jug — same recipe as today’s, its own sealed container, labelled. Turtle Soup too, if there is enough left over to batch.</t>
  </si>
  <si>
    <t xml:space="preserve">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</si>
  <si>
    <t xml:space="preserve">Teardown. Nothing to prep for tomorrow.</t>
  </si>
  <si>
    <t xml:space="preserve">CLOSING SUNDAY — DAYTIME SERVICE, not a night. One jug, cold-steeped Saturday night, plus whatever is left on the standing board. Cold brew and electrolytes run as normal today: Assumptions B81 counts eight days, so the grounds and the powder are bought for it. Good day to run the Turtle Soup sign.</t>
  </si>
  <si>
    <t xml:space="preserve">MAIN INSTRUCTIONS — the permanent card. True every shift; print once and leave it up.</t>
  </si>
  <si>
    <t xml:space="preserve">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</si>
  <si>
    <t xml:space="preserve">LIQUOR IS ALWAYS OPTIONAL AND ALWAYS 1.5 OZ. Ask; never assume. Every drink is complete without it.</t>
  </si>
  <si>
    <t xml:space="preserve">SALT NEARLY EVERY JUG — about 1.5 tsp per 10 L. It is what makes a batch taste finished rather than watery in the heat. Same reason several built drinks get a pinch or a rim.</t>
  </si>
  <si>
    <t xml:space="preserve">TAJÍN RIM ON FOUR: Michelada, A Ginger's Pickle, Catboy Piss, Shirley Temple of Doom. Fuzz Test takes a rim or a two-finger pinch of salt — that is what kills the grapefruit bitterness. Mint cube on the Fuzz Test IF THERE ARE ANY; never hold a build waiting for one.</t>
  </si>
  <si>
    <t xml:space="preserve">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</si>
  <si>
    <t xml:space="preserve">BEER, CIDER AND LAGER ARE HANDED OVER SEALED — do not pour them into a cup. The Radler is the exception: a HALF pour, one 16.9 oz can makes two servings. No garnish (dropped 10 Aug 2026) — this line was stale and is fixed 21 Aug 2026.</t>
  </si>
  <si>
    <t xml:space="preserve">GRAPEFRUIT GARNISH IS GONE — both the Radler wedge (dropped 10 Aug 2026) and the Sour Ale wheel (dropped 21 Aug 2026) are retired. Neither straight pour gets a fruit garnish any more.</t>
  </si>
  <si>
    <t xml:space="preserve">CREAM OF COCONUT, NEVER DAIRY. It will not curdle against citrus and nothing needs refrigeration. That is why creamy citrus drinks work here and would not at a normal bar.</t>
  </si>
  <si>
    <t xml:space="preserve">ROOT ACCESS FOAMS — stir it gently or you will wear it.</t>
  </si>
  <si>
    <t xml:space="preserve">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</si>
  <si>
    <t xml:space="preserve">ITALIAN SODA IS ALWAYS AVAILABLE AND COSTS US ALMOST NOTHING: 1 oz of any syrup + 8 oz soda water + lime. It is the answer to 'do you have anything not too sweet?'</t>
  </si>
  <si>
    <t xml:space="preserve">PUSH COLD BREW AND ELECTROLYTES ON ANYONE LOOKING COOKED. Made fresh daily, and they are the actual point of the camp.</t>
  </si>
  <si>
    <t xml:space="preserve">*** THE SATURDAY REVEALS STAY OFF THE BOARD UNTIL SATURDAY — Sakura Kisses, Catboy Snot, Catboy Piss. Do not spoil them, do not pre-announce them. ***</t>
  </si>
  <si>
    <t xml:space="preserve">*** CATBOY SNOT USES DRINKING ALOE — inner-fillet, decolorized. Whole-leaf or supplement aloe is a laxative. If you are not certain which bottle you have, do not serve it. ***</t>
  </si>
  <si>
    <t xml:space="preserve">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</si>
  <si>
    <t xml:space="preserve">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</si>
  <si>
    <t xml:space="preserve">EVERY DAY — standing setup tasks</t>
  </si>
  <si>
    <t xml:space="preserve">Cold brew — 3 gal, and electrolytes — 5 gal. Every day, no exceptions. First things to run out. TANGERINE JUICE IS RATIONED — one quart out in the morning with the coffee, then put it away. Four quarts is the whole week.</t>
  </si>
  <si>
    <t xml:space="preserve">Ice run and re-ice the tubs. Ice is not costed in this workbook — camp lead covers it.</t>
  </si>
  <si>
    <t xml:space="preserve">Cut the day's garnishes into the resealable containers: lime, mint, sage. Lids on, out of the dust.</t>
  </si>
  <si>
    <t xml:space="preserve">Restock the cooler from dry storage so cans are cold BEFORE the rush, not during it.</t>
  </si>
  <si>
    <t xml:space="preserve">Batch tonight's jug before service opens. Check the tea dispenser and top it up.</t>
  </si>
  <si>
    <t xml:space="preserve">Check the Daily Tea and re-steep if it is low — 1.5 gal, cold-steeped overnight, and NEVER the same tea the jug is pouring tonight. Sun-Mon green / Tue jamaica / Wed lapsang / Thu-Fri green / Sat-Sun jamaica. There must always be one unsweetened tea on the bar.</t>
  </si>
  <si>
    <t xml:space="preserve">SCALING UP</t>
  </si>
  <si>
    <t xml:space="preserve">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</si>
  <si>
    <t xml:space="preserve">Service Availability — what is on offer, and when</t>
  </si>
  <si>
    <t xml:space="preserve">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</si>
  <si>
    <t xml:space="preserve">1. ALL WEEK — always available, no day restriction</t>
  </si>
  <si>
    <t xml:space="preserve">Type</t>
  </si>
  <si>
    <t xml:space="preserve">Built or handed over?</t>
  </si>
  <si>
    <t xml:space="preserve">Liquor option</t>
  </si>
  <si>
    <t xml:space="preserve">Built to order</t>
  </si>
  <si>
    <t xml:space="preserve">LESS SWEET — savoury</t>
  </si>
  <si>
    <t xml:space="preserve">Built to order. On the LESS SWEET block of the board — it is savoury, not sweet.</t>
  </si>
  <si>
    <t xml:space="preserve">Salt or Tajin rim, built to order</t>
  </si>
  <si>
    <t xml:space="preserve">Built to order — tequila always</t>
  </si>
  <si>
    <t xml:space="preserve">Salt rim, built to order. 4 oz margarita mixer + 1.5 oz tequila; lime and agave to taste.</t>
  </si>
  <si>
    <t xml:space="preserve">LESS SWEET — tequila always</t>
  </si>
  <si>
    <t xml:space="preserve">Salt rim, built to order. On the LESS SWEET block of the board, not with the built drinks.</t>
  </si>
  <si>
    <t xml:space="preserve">Hand over a cold can</t>
  </si>
  <si>
    <t xml:space="preserve">Beer — sour ale</t>
  </si>
  <si>
    <t xml:space="preserve">Cold can, no garnish</t>
  </si>
  <si>
    <t xml:space="preserve">Grapefruit Radler</t>
  </si>
  <si>
    <t xml:space="preserve">Shandy — pre-made</t>
  </si>
  <si>
    <t xml:space="preserve">Half pour over ice, optional Tajin rim. Optional splash of paloma mixer.</t>
  </si>
  <si>
    <t xml:space="preserve">Beer — blonde ale</t>
  </si>
  <si>
    <t xml:space="preserve">Beer — Mexican lager</t>
  </si>
  <si>
    <t xml:space="preserve">Poured over ice. All week — no longer Saturday-only. Also the base for the Green Tea Refresher (aloe vera drink + tea, optional lychee, mint, yuzu, honey, agar boba). TWO SOURCES: bottled Ito En for most of it, plus one gallon cold-steeped from teabags — pour either, they are the same drink. Only the built Sakura Kisses stays a Saturday reveal.</t>
  </si>
  <si>
    <t xml:space="preserve">Italian soda</t>
  </si>
  <si>
    <t xml:space="preserve">No-prep</t>
  </si>
  <si>
    <t xml:space="preserve">1 oz syrup + 8 oz soda water + lime, over ice. ASK HOW SWEET: full, half, quarter or none.</t>
  </si>
  <si>
    <t xml:space="preserve">Pickle brine shot</t>
  </si>
  <si>
    <t xml:space="preserve">Straight from the jar</t>
  </si>
  <si>
    <t xml:space="preserve">Salted soda water + lime</t>
  </si>
  <si>
    <t xml:space="preserve">The hydration one</t>
  </si>
  <si>
    <t xml:space="preserve">Tonic + lime</t>
  </si>
  <si>
    <t xml:space="preserve">Bitter, barely sweet</t>
  </si>
  <si>
    <t xml:space="preserve">Daily Tea — standing iced tea</t>
  </si>
  <si>
    <t xml:space="preserve">LESS SWEET</t>
  </si>
  <si>
    <t xml:space="preserve">1.5 gal on hand, cold-steeped. Rotates green / jamaica / lapsang — never the same tea as tonight’s jug.</t>
  </si>
  <si>
    <t xml:space="preserve">Leaf Node</t>
  </si>
  <si>
    <t xml:space="preserve">Mint, sage or basil muddled into soda water + lime. No sugar.</t>
  </si>
  <si>
    <t xml:space="preserve">Bitwise</t>
  </si>
  <si>
    <t xml:space="preserve">3-4 dashes Angostura + soda water + lime.</t>
  </si>
  <si>
    <t xml:space="preserve">Hand over a cold can — moved off the camper menu, it is the obvious answer to "nothing sweet".</t>
  </si>
  <si>
    <t xml:space="preserve">Hand over a cold one</t>
  </si>
  <si>
    <t xml:space="preserve">Kombucha — straight (pour Superberry)</t>
  </si>
  <si>
    <t xml:space="preserve">Pour one over ice. WHILE IT LASTS — roughly 10 servings across the week, out of variety-pack spare, so do not put it on the board as a standing item. Superberry first; Island Mango and Clear Mind are needed for Tang Dynasty and Clear Cache. Splash of Mountain Dew to make it dirty.</t>
  </si>
  <si>
    <t xml:space="preserve">2. SATURDAY ONLY — Catboy Café reveal. DO NOT put these on the board before Saturday.</t>
  </si>
  <si>
    <t xml:space="preserve">Saturday reveal</t>
  </si>
  <si>
    <t xml:space="preserve">PREP WARNING: Saturday stacks these on top of the full standing menu. Prep the aloe, the basil seeds and all hydrated garnishes on FRIDAY NIGHT.</t>
  </si>
  <si>
    <t xml:space="preserve">3. ONE NIGHT ONLY — the nightly jug special, while it lasts (the last one is a daytime pour)</t>
  </si>
  <si>
    <t xml:space="preserve">Night</t>
  </si>
  <si>
    <t xml:space="preserve">4. STANDALONE — its own sign, no day attached</t>
  </si>
  <si>
    <t xml:space="preserve">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</si>
  <si>
    <t xml:space="preserve">BACKUP JUG: 'Jug Recipes' row 13 holds a spare Salted Limeade that can go out any night if a special runs dry. Not on any menu — it is insurance.</t>
  </si>
  <si>
    <t xml:space="preserve">5. RULES THAT NO LONGER EXIST</t>
  </si>
  <si>
    <t xml:space="preserve">Two tap lines. Gone. No jockey box, no CO2, no coil. Everything lives in tubs on ice.</t>
  </si>
  <si>
    <t xml:space="preserve">Cider only Sun-Mon, sour ale Sun-Tue, lager Wed-Thu, blonde ale Fri-Sat. All gone — every one is available all week. That was purely a limit on how many kegs could be live at once, and it does not exist for cans.</t>
  </si>
  <si>
    <t xml:space="preserve">Green tea Saturday-only. Gone as a restriction — pourable all week. Only the BUILT Sakura Kisses stays a Saturday reveal.</t>
  </si>
  <si>
    <t xml:space="preserve">Straight kombucha. REINSTATED 14 Aug 2026 — this rule is itself now retired. It is on offer again; see section 1, row 41. Pour Superberry: it is the flavour with real slack. Supply is spare capacity (~10 pours all week), so it is not a promise.</t>
  </si>
  <si>
    <t xml:space="preserve">The sour ale shandy. Dropped — a sour is already acidic, so lemonade muddled it. The shandy slot is pre-made Stiegl Grapefruit Radler instead.</t>
  </si>
  <si>
    <t xml:space="preserve">Turtle Soup pinned to a day. Gone — standalone sign, section 4.</t>
  </si>
  <si>
    <t xml:space="preserve">The 40 oz per-unit loss allowance. Zeroed — that was keg foam and line loss.</t>
  </si>
  <si>
    <t xml:space="preserve">Keg deposits, empties and the return trip to Mike's. Gone.</t>
  </si>
  <si>
    <t xml:space="preserve">6. SECRET PARTY — off-menu. Do NOT put on the standing board or the Menu Board.</t>
  </si>
  <si>
    <t xml:space="preserve">Build</t>
  </si>
  <si>
    <t xml:space="preserve">Draws from</t>
  </si>
  <si>
    <t xml:space="preserve">Neat / rocks, no mixer</t>
  </si>
  <si>
    <t xml:space="preserve">New — Vodka only</t>
  </si>
  <si>
    <t xml:space="preserve">Vodka + cranberry, over ice</t>
  </si>
  <si>
    <t xml:space="preserve">New — Vodka + Cranberry juice</t>
  </si>
  <si>
    <t xml:space="preserve">Vodka + OJ, over ice</t>
  </si>
  <si>
    <t xml:space="preserve">New — Vodka + Orange juice</t>
  </si>
  <si>
    <t xml:space="preserve">Vodka + Red Bull, over ice</t>
  </si>
  <si>
    <t xml:space="preserve">Existing Red Bull stock + a topped-up 24-pack (Bar Add-Ons row 14)</t>
  </si>
  <si>
    <t xml:space="preserve">Vodka + lemonade, over ice</t>
  </si>
  <si>
    <t xml:space="preserve">Existing lemonade stock + folded into the Kirkland bottle buy (Other Consumables B19)</t>
  </si>
  <si>
    <t xml:space="preserve">Vodka + soda water + lime, over ice</t>
  </si>
  <si>
    <t xml:space="preserve">Existing soda water stock (assumed sufficient)</t>
  </si>
  <si>
    <t xml:space="preserve">Camp-mate request, 21 Aug 2026 — a private/secret event, not the Saturday Catboy Café reveal. A separate one-off menu is being built just for this; nothing here belongs on the guest-facing standing board or Menu Board tab.</t>
  </si>
  <si>
    <t xml:space="preserve">Bar Add-Ons — no prep, no batching, no recipe</t>
  </si>
  <si>
    <t xml:space="preserve">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</si>
  <si>
    <t xml:space="preserve">1. MIXERS &amp; MODIFIERS — splash into anything on the menu</t>
  </si>
  <si>
    <t xml:space="preserve">Why it earns the space</t>
  </si>
  <si>
    <t xml:space="preserve">Tonic water (1 L bottles)</t>
  </si>
  <si>
    <t xml:space="preserve">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</si>
  <si>
    <t xml:space="preserve">Soda water — service buffer (1 L bottles)</t>
  </si>
  <si>
    <t xml:space="preserve">Ginger beer — buffer</t>
  </si>
  <si>
    <t xml:space="preserve">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</si>
  <si>
    <t xml:space="preserve">Angostura bitters (4oz)</t>
  </si>
  <si>
    <t xml:space="preserve">bottle</t>
  </si>
  <si>
    <t xml:space="preserve">Best volume-to-value item here — one tiny bottle. Dashes into soda water + lime for a proper NA aperitif, and a couple of dashes rescues any dirty soda that tastes flat or too sweet. REPRICED: Angostura 4 oz is now $12-15 (Total Wine $14.99, Walmart $9.87), not $9.</t>
  </si>
  <si>
    <t xml:space="preserve">2. STANDALONE — hand someone a cold one, zero labor)</t>
  </si>
  <si>
    <t xml:space="preserve">Red Bull (8.4oz) — 24 YELLOW EDITION + 24 REGULAR</t>
  </si>
  <si>
    <t xml:space="preserve">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</si>
  <si>
    <t xml:space="preserve">Stiegl Grapefruit Radler (4 x 16.9oz)</t>
  </si>
  <si>
    <t xml:space="preserve">4-packs</t>
  </si>
  <si>
    <t xml:space="preserve">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</si>
  <si>
    <t xml:space="preserve">TRIPLED to 36 — the best hangover item on the list and it needs no bartender at all. Vita Coco 18 x 11.1 oz at Costco is $14.19-23.99, so $1.10/carton. Drinkable straight, and a good mixer with the coconut rum.</t>
  </si>
  <si>
    <t xml:space="preserve">TOTAL — BAR ADD-ONS</t>
  </si>
  <si>
    <t xml:space="preserve">3. MENU EXTENSIONS — built from stock we already buy</t>
  </si>
  <si>
    <t xml:space="preserve">Italian sodas — STANDING MENU ITEM (now costed, not free)</t>
  </si>
  <si>
    <t xml:space="preserve">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</si>
  <si>
    <t xml:space="preserve">Pickle brine shots — ON THE MENU BOARD</t>
  </si>
  <si>
    <t xml:space="preserve">shots</t>
  </si>
  <si>
    <t xml:space="preserve">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</si>
  <si>
    <t xml:space="preserve">Three things already on the bar. The simplest hydration drink there is, and the one to push on anyone who looks overheated.</t>
  </si>
  <si>
    <t xml:space="preserve">Daily Tea — the standing iced tea (LESS SWEET)</t>
  </si>
  <si>
    <t xml:space="preserve">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</si>
  <si>
    <t xml:space="preserve">Leaf Node — herb soda (LESS SWEET)</t>
  </si>
  <si>
    <t xml:space="preserve">Bitwise — soda water + bitters (LESS SWEET)</t>
  </si>
  <si>
    <t xml:space="preserve">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</si>
  <si>
    <t xml:space="preserve">Mountain Dew splash — "make it dirty"</t>
  </si>
  <si>
    <t xml:space="preserve">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</si>
  <si>
    <t xml:space="preserve">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</si>
  <si>
    <t xml:space="preserve">Menu Board — what goes on the signage</t>
  </si>
  <si>
    <t xml:space="preserve">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</si>
  <si>
    <t xml:space="preserve">ALL WEEK — DIRTY SODAS (built to order)</t>
  </si>
  <si>
    <t xml:space="preserve">What's in it</t>
  </si>
  <si>
    <t xml:space="preserve">Coke + Vanilla + Cherry</t>
  </si>
  <si>
    <t xml:space="preserve">Orange Fanta + Coconut Cream</t>
  </si>
  <si>
    <t xml:space="preserve">Ginger Ale + Pickle + Tajín</t>
  </si>
  <si>
    <t xml:space="preserve">Dr Pepper + Vanilla + Coconut Cream</t>
  </si>
  <si>
    <t xml:space="preserve">Dr Pepper + Peach + Vanilla + Coconut Cream</t>
  </si>
  <si>
    <t xml:space="preserve">Squirt + Peach + Lime</t>
  </si>
  <si>
    <t xml:space="preserve">Root Beer + Vanilla + Coconut Cream</t>
  </si>
  <si>
    <t xml:space="preserve">Sprite + Cherry + Lime + Tajín</t>
  </si>
  <si>
    <t xml:space="preserve">Sprite + Ginger Beer + Cherry</t>
  </si>
  <si>
    <t xml:space="preserve">Lemonade + Watermelon + Mint</t>
  </si>
  <si>
    <t xml:space="preserve">Island Mango Kombucha + Tangerine + Passion Fruit</t>
  </si>
  <si>
    <t xml:space="preserve">Superberry Kombucha + Yuzu + Ginger Beer</t>
  </si>
  <si>
    <t xml:space="preserve">Bartender instructions: ASK IF THEY WANT IT DIRTY — a splash of Mountain Dew goes in this kombucha build.</t>
  </si>
  <si>
    <t xml:space="preserve">Clear Mind Kombucha + Peach + Yuzu + Sage</t>
  </si>
  <si>
    <t xml:space="preserve">Grapefruit + Guava + Soda Water</t>
  </si>
  <si>
    <t xml:space="preserve">Bartender instructions: optional splash of watermelon juice or extra lime on request — no separate stock, already on the truck for other drinks.</t>
  </si>
  <si>
    <t xml:space="preserve">Margarita Mix + Lime + Agave + Tequila</t>
  </si>
  <si>
    <t xml:space="preserve">Grapefruit + Lime + Soda Water</t>
  </si>
  <si>
    <t xml:space="preserve">Bartender instructions: ASK IF THEY WANT IT SPICY — 2-3 drops of Fee Brothers Habanero Bitters on request. Optional splash of watermelon juice or extra lime too — no separate stock, already on the truck for other drinks.</t>
  </si>
  <si>
    <t xml:space="preserve">Iced Tea</t>
  </si>
  <si>
    <t xml:space="preserve">Rotating iced tea</t>
  </si>
  <si>
    <t xml:space="preserve">Herb Soda</t>
  </si>
  <si>
    <t xml:space="preserve">Mint, Sage or Basil + Soda Water + Lime</t>
  </si>
  <si>
    <t xml:space="preserve">Soda &amp; Bitters</t>
  </si>
  <si>
    <t xml:space="preserve">Soda Water + Bitters + Lime</t>
  </si>
  <si>
    <t xml:space="preserve">Lime Tonic</t>
  </si>
  <si>
    <t xml:space="preserve">Tonic + Lime</t>
  </si>
  <si>
    <t xml:space="preserve">Syrup + Soda Water + Lime — say full, half, quarter or none</t>
  </si>
  <si>
    <t xml:space="preserve">Pickle Brine</t>
  </si>
  <si>
    <t xml:space="preserve">Sparkling Water</t>
  </si>
  <si>
    <t xml:space="preserve">Tequila + Lime + Soda Water + Salt</t>
  </si>
  <si>
    <t xml:space="preserve">Lager + Bloody Mary Mix + Lime</t>
  </si>
  <si>
    <t xml:space="preserve">LAGER – In the build, not optional</t>
  </si>
  <si>
    <t xml:space="preserve">COLD FROM THE COOLER</t>
  </si>
  <si>
    <t xml:space="preserve">Sour Ale + Ancho</t>
  </si>
  <si>
    <t xml:space="preserve">Beer + Grapefruit</t>
  </si>
  <si>
    <t xml:space="preserve">Lager</t>
  </si>
  <si>
    <t xml:space="preserve">SATURDAY ONLY — Catboy Café reveal</t>
  </si>
  <si>
    <t xml:space="preserve">Red Bull Yellow Edition + Passion Fruit + Lime + Tajín</t>
  </si>
  <si>
    <t xml:space="preserve">Squirt + Aloe + Melon + Lime</t>
  </si>
  <si>
    <t xml:space="preserve">Green Tea + Orange + Sakura</t>
  </si>
  <si>
    <t xml:space="preserve">Iced Peach Tea</t>
  </si>
  <si>
    <t xml:space="preserve">Green tea + peach</t>
  </si>
  <si>
    <t xml:space="preserve">STANDALONE SIGN — goes up on its own, no day attached</t>
  </si>
  <si>
    <t xml:space="preserve">Whatever's Left</t>
  </si>
  <si>
    <t xml:space="preserve">Whatever is left</t>
  </si>
  <si>
    <t xml:space="preserve">SECRET MENU —  “FOR PRINCESSES WHO COMPLAIN TOO MUCH” (and for the camp members; show it to the right people at your discretion.)</t>
  </si>
  <si>
    <t xml:space="preserve">Coconut Water</t>
  </si>
  <si>
    <t xml:space="preserve">Energy drink — sparkling, caffeinated</t>
  </si>
  <si>
    <t xml:space="preserve">White Claw (or equivalent)</t>
  </si>
  <si>
    <t xml:space="preserve">Hard seltzer — already alcoholic</t>
  </si>
  <si>
    <t xml:space="preserve">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</si>
  <si>
    <t xml:space="preserve">NIGHTLY JUG — one per night while it lasts, plus a daytime jug on the closing Sunday</t>
  </si>
  <si>
    <t xml:space="preserve">Sprite + Cherry + Lime</t>
  </si>
  <si>
    <t xml:space="preserve">Watermelon + Mint + Agave</t>
  </si>
  <si>
    <t xml:space="preserve">Smoked Tea + Lemonade + Lime</t>
  </si>
  <si>
    <t xml:space="preserve">Hibiscus + Agave + Lime</t>
  </si>
  <si>
    <t xml:space="preserve">Orange + Pineapple + Passion Fruit + Cherry Bitters</t>
  </si>
  <si>
    <t xml:space="preserve">Horchata + Coconut Cream + Vanilla</t>
  </si>
  <si>
    <t xml:space="preserve">Green Tea + Peach + Lemon</t>
  </si>
</sst>
</file>

<file path=xl/styles.xml><?xml version="1.0" encoding="utf-8"?>
<styleSheet xmlns="http://schemas.openxmlformats.org/spreadsheetml/2006/main">
  <numFmts count="13">
    <numFmt numFmtId="164" formatCode="General"/>
    <numFmt numFmtId="165" formatCode="0"/>
    <numFmt numFmtId="166" formatCode="0.0%"/>
    <numFmt numFmtId="167" formatCode="0.0"/>
    <numFmt numFmtId="168" formatCode="General"/>
    <numFmt numFmtId="169" formatCode="\$#,##0.00"/>
    <numFmt numFmtId="170" formatCode="0%"/>
    <numFmt numFmtId="171" formatCode="0.00"/>
    <numFmt numFmtId="172" formatCode="\$#,##0.000"/>
    <numFmt numFmtId="173" formatCode="#,##0"/>
    <numFmt numFmtId="174" formatCode="\$#,##0"/>
    <numFmt numFmtId="175" formatCode="#,##0.0"/>
    <numFmt numFmtId="176" formatCode="@"/>
  </numFmts>
  <fonts count="26">
    <font>
      <sz val="11"/>
      <color rgb="FF000000"/>
      <name val="Calibri"/>
      <family val="0"/>
      <charset val="1"/>
    </font>
    <font>
      <sz val="10"/>
      <name val="Arial"/>
      <family val="0"/>
    </font>
    <font>
      <sz val="10"/>
      <name val="Arial"/>
      <family val="0"/>
    </font>
    <font>
      <sz val="10"/>
      <name val="Arial"/>
      <family val="0"/>
    </font>
    <font>
      <b val="true"/>
      <sz val="14"/>
      <color rgb="FFFFFFFF"/>
      <name val="Cambria"/>
      <family val="0"/>
      <charset val="1"/>
    </font>
    <font>
      <sz val="9"/>
      <name val="Cambria"/>
      <family val="0"/>
      <charset val="1"/>
    </font>
    <font>
      <b val="true"/>
      <sz val="11"/>
      <name val="Cambria"/>
      <family val="0"/>
      <charset val="1"/>
    </font>
    <font>
      <b val="true"/>
      <sz val="11"/>
      <color rgb="FF9B2226"/>
      <name val="Cambria"/>
      <family val="0"/>
      <charset val="1"/>
    </font>
    <font>
      <b val="true"/>
      <sz val="14"/>
      <color rgb="FFFFFFFF"/>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sz val="11"/>
      <color theme="1"/>
      <name val="Calibri"/>
      <family val="0"/>
      <charset val="1"/>
    </font>
    <font>
      <sz val="10"/>
      <color rgb="FF0000FF"/>
      <name val="Cambria"/>
      <family val="0"/>
      <charset val="1"/>
    </font>
    <font>
      <sz val="10"/>
      <name val="Cambria"/>
      <family val="0"/>
      <charset val="1"/>
    </font>
    <font>
      <b val="true"/>
      <sz val="10"/>
      <color rgb="FF000000"/>
      <name val="Arial"/>
      <family val="0"/>
      <charset val="1"/>
    </font>
    <font>
      <b val="true"/>
      <sz val="10"/>
      <name val="Cambria"/>
      <family val="0"/>
      <charset val="1"/>
    </font>
    <font>
      <b val="true"/>
      <sz val="11"/>
      <color rgb="FFFFFFFF"/>
      <name val="Cambria"/>
      <family val="0"/>
      <charset val="1"/>
    </font>
    <font>
      <b val="true"/>
      <sz val="9"/>
      <color rgb="FF9B2226"/>
      <name val="Cambria"/>
      <family val="0"/>
      <charset val="1"/>
    </font>
    <font>
      <i val="true"/>
      <sz val="9"/>
      <name val="Cambria"/>
      <family val="0"/>
      <charset val="1"/>
    </font>
    <font>
      <i val="true"/>
      <sz val="10"/>
      <name val="Cambria"/>
      <family val="0"/>
      <charset val="1"/>
    </font>
    <font>
      <i val="true"/>
      <sz val="9"/>
      <color rgb="FF000000"/>
      <name val="Arial"/>
      <family val="0"/>
      <charset val="1"/>
    </font>
    <font>
      <sz val="11"/>
      <name val="Cambria"/>
      <family val="0"/>
      <charset val="1"/>
    </font>
    <font>
      <b val="true"/>
      <sz val="10"/>
      <color rgb="FF2A6099"/>
      <name val="Arial"/>
      <family val="0"/>
      <charset val="1"/>
    </font>
    <font>
      <sz val="11"/>
      <color rgb="FF2A6099"/>
      <name val="Calibri"/>
      <family val="0"/>
      <charset val="1"/>
    </font>
    <font>
      <i val="true"/>
      <sz val="9"/>
      <color rgb="FF9B2226"/>
      <name val="Cambria"/>
      <family val="0"/>
      <charset val="1"/>
    </font>
  </fonts>
  <fills count="10">
    <fill>
      <patternFill patternType="none"/>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left" vertical="center" textRotation="0" wrapText="false" indent="0" shrinkToFit="false"/>
      <protection locked="true" hidden="false"/>
    </xf>
    <xf numFmtId="168" fontId="15"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general" vertical="bottom" textRotation="0" wrapText="false" indent="0" shrinkToFit="false"/>
      <protection locked="true" hidden="false"/>
    </xf>
    <xf numFmtId="167" fontId="14" fillId="0" borderId="2" xfId="0" applyFont="true" applyBorder="true" applyAlignment="true" applyProtection="false">
      <alignment horizontal="center" vertical="bottom" textRotation="0" wrapText="false" indent="0" shrinkToFit="false"/>
      <protection locked="true" hidden="false"/>
    </xf>
    <xf numFmtId="165" fontId="14" fillId="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69" fontId="14" fillId="0"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16" fillId="6" borderId="2" xfId="0" applyFont="true" applyBorder="true" applyAlignment="true" applyProtection="false">
      <alignment horizontal="general" vertical="bottom" textRotation="0" wrapText="false" indent="0" shrinkToFit="false"/>
      <protection locked="true" hidden="false"/>
    </xf>
    <xf numFmtId="165" fontId="16" fillId="6" borderId="2" xfId="0" applyFont="true" applyBorder="true" applyAlignment="true" applyProtection="false">
      <alignment horizontal="center" vertical="bottom" textRotation="0" wrapText="false" indent="0" shrinkToFit="false"/>
      <protection locked="true" hidden="false"/>
    </xf>
    <xf numFmtId="165" fontId="16" fillId="6" borderId="2" xfId="0" applyFont="true" applyBorder="true" applyAlignment="true" applyProtection="false">
      <alignment horizontal="general" vertical="bottom" textRotation="0" wrapText="false" indent="0" shrinkToFit="false"/>
      <protection locked="true" hidden="false"/>
    </xf>
    <xf numFmtId="169" fontId="16" fillId="6" borderId="2" xfId="0" applyFont="true" applyBorder="true" applyAlignment="true" applyProtection="false">
      <alignment horizontal="general" vertical="bottom" textRotation="0" wrapText="false" indent="0" shrinkToFit="false"/>
      <protection locked="true" hidden="false"/>
    </xf>
    <xf numFmtId="169" fontId="16" fillId="6" borderId="2" xfId="0" applyFont="true" applyBorder="true" applyAlignment="true" applyProtection="false">
      <alignment horizontal="center" vertical="bottom" textRotation="0" wrapText="false" indent="0" shrinkToFit="false"/>
      <protection locked="true" hidden="false"/>
    </xf>
    <xf numFmtId="164" fontId="18" fillId="6" borderId="2" xfId="0" applyFont="true" applyBorder="tru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9" fontId="13" fillId="4" borderId="1" xfId="0" applyFont="true" applyBorder="true" applyAlignment="true" applyProtection="false">
      <alignment horizontal="center" vertical="center" textRotation="0" wrapText="false" indent="0" shrinkToFit="false"/>
      <protection locked="true" hidden="false"/>
    </xf>
    <xf numFmtId="169" fontId="11"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9" fontId="13" fillId="4"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0" fontId="13" fillId="4" borderId="0" xfId="0" applyFont="true" applyBorder="false" applyAlignment="true" applyProtection="false">
      <alignment horizontal="general" vertical="bottom" textRotation="0" wrapText="false" indent="0" shrinkToFit="false"/>
      <protection locked="true" hidden="false"/>
    </xf>
    <xf numFmtId="165" fontId="13" fillId="4" borderId="0" xfId="0" applyFont="true" applyBorder="false" applyAlignment="true" applyProtection="false">
      <alignment horizontal="general" vertical="bottom" textRotation="0" wrapText="false" indent="0" shrinkToFit="false"/>
      <protection locked="true" hidden="false"/>
    </xf>
    <xf numFmtId="167" fontId="13" fillId="4"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1" fontId="13" fillId="4"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4" fontId="16" fillId="0"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6" fontId="16" fillId="6" borderId="2" xfId="0" applyFont="true" applyBorder="true" applyAlignment="true" applyProtection="false">
      <alignment horizontal="center" vertical="bottom" textRotation="0" wrapText="false" indent="0" shrinkToFit="false"/>
      <protection locked="true" hidden="false"/>
    </xf>
    <xf numFmtId="174" fontId="16" fillId="6" borderId="2" xfId="0" applyFont="true" applyBorder="true" applyAlignment="true" applyProtection="false">
      <alignment horizontal="center" vertical="bottom" textRotation="0" wrapText="fals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general" vertical="bottom" textRotation="0" wrapText="false" indent="0" shrinkToFit="false"/>
      <protection locked="true" hidden="false"/>
    </xf>
    <xf numFmtId="174" fontId="14" fillId="0" borderId="2" xfId="0" applyFont="true" applyBorder="true" applyAlignment="true" applyProtection="false">
      <alignment horizontal="center" vertical="bottom" textRotation="0" wrapText="false" indent="0" shrinkToFit="false"/>
      <protection locked="true" hidden="false"/>
    </xf>
    <xf numFmtId="169" fontId="14" fillId="0" borderId="2"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69" fontId="20" fillId="0" borderId="2" xfId="0" applyFont="true" applyBorder="true" applyAlignment="true" applyProtection="false">
      <alignment horizontal="center" vertical="bottom" textRotation="0" wrapText="false" indent="0" shrinkToFit="false"/>
      <protection locked="true" hidden="false"/>
    </xf>
    <xf numFmtId="175" fontId="14" fillId="0" borderId="2"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74" fontId="10" fillId="0" borderId="1" xfId="0" applyFont="true" applyBorder="true" applyAlignment="true" applyProtection="false">
      <alignment horizontal="center" vertical="center" textRotation="0" wrapText="false" indent="0" shrinkToFit="false"/>
      <protection locked="true" hidden="false"/>
    </xf>
    <xf numFmtId="165" fontId="15" fillId="7"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74" fontId="15" fillId="0" borderId="1"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5" fontId="16" fillId="6" borderId="0" xfId="0" applyFont="true" applyBorder="false" applyAlignment="true" applyProtection="false">
      <alignment horizontal="general" vertical="bottom" textRotation="0" wrapText="false" indent="0" shrinkToFit="false"/>
      <protection locked="true" hidden="false"/>
    </xf>
    <xf numFmtId="173" fontId="16" fillId="6" borderId="0" xfId="0" applyFont="true" applyBorder="false" applyAlignment="true" applyProtection="false">
      <alignment horizontal="general" vertical="bottom" textRotation="0" wrapText="false" indent="0" shrinkToFit="false"/>
      <protection locked="true" hidden="false"/>
    </xf>
    <xf numFmtId="175" fontId="14"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center" vertical="bottom" textRotation="0" wrapText="false" indent="0" shrinkToFit="false"/>
      <protection locked="true" hidden="false"/>
    </xf>
    <xf numFmtId="174" fontId="14" fillId="0" borderId="0" xfId="0" applyFont="true" applyBorder="false" applyAlignment="true" applyProtection="false">
      <alignment horizontal="general" vertical="bottom" textRotation="0" wrapText="false" indent="0" shrinkToFit="false"/>
      <protection locked="true" hidden="false"/>
    </xf>
    <xf numFmtId="174" fontId="16" fillId="6"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center" vertical="center" textRotation="0" wrapText="false" indent="0" shrinkToFit="false"/>
      <protection locked="true" hidden="false"/>
    </xf>
    <xf numFmtId="173" fontId="15" fillId="0" borderId="1" xfId="0" applyFont="true" applyBorder="true" applyAlignment="true" applyProtection="false">
      <alignment horizontal="center" vertical="center" textRotation="0" wrapText="false" indent="0" shrinkToFit="false"/>
      <protection locked="true" hidden="false"/>
    </xf>
    <xf numFmtId="173" fontId="15"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17" fillId="3" borderId="2" xfId="0" applyFont="true" applyBorder="true" applyAlignment="true" applyProtection="false">
      <alignment horizontal="general" vertical="bottom" textRotation="0" wrapText="false" indent="0" shrinkToFit="false"/>
      <protection locked="true" hidden="false"/>
    </xf>
    <xf numFmtId="173" fontId="14" fillId="0" borderId="2" xfId="0" applyFont="true" applyBorder="true" applyAlignment="true" applyProtection="false">
      <alignment horizontal="general" vertical="bottom" textRotation="0" wrapText="false" indent="0" shrinkToFit="false"/>
      <protection locked="true" hidden="false"/>
    </xf>
    <xf numFmtId="173" fontId="16" fillId="0" borderId="2" xfId="0" applyFont="true" applyBorder="tru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tru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left" vertical="bottom"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13" fillId="4" borderId="2" xfId="0" applyFont="true" applyBorder="true" applyAlignment="true" applyProtection="false">
      <alignment horizontal="left" vertical="bottom" textRotation="0" wrapText="tru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5" fontId="15" fillId="0" borderId="1" xfId="0" applyFont="true" applyBorder="true" applyAlignment="true" applyProtection="false">
      <alignment horizontal="left"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false" indent="0" shrinkToFit="false"/>
      <protection locked="true" hidden="false"/>
    </xf>
    <xf numFmtId="164" fontId="24" fillId="4" borderId="0" xfId="0" applyFont="true" applyBorder="fals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left" vertical="bottom" textRotation="0" wrapText="true" indent="0" shrinkToFit="false"/>
      <protection locked="true" hidden="false"/>
    </xf>
    <xf numFmtId="174" fontId="22" fillId="0"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17"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true" applyAlignment="true" applyProtection="false">
      <alignment horizontal="general" vertical="top" textRotation="0" wrapText="tru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13" fillId="4" borderId="2" xfId="0" applyFont="true" applyBorder="true" applyAlignment="true" applyProtection="false">
      <alignment horizontal="center" vertical="bottom" textRotation="0" wrapText="false" indent="0" shrinkToFit="false"/>
      <protection locked="true" hidden="false"/>
    </xf>
    <xf numFmtId="169" fontId="13" fillId="4" borderId="2" xfId="0" applyFont="true" applyBorder="true" applyAlignment="true" applyProtection="false">
      <alignment horizontal="center" vertical="bottom" textRotation="0" wrapText="false" indent="0" shrinkToFit="false"/>
      <protection locked="true" hidden="false"/>
    </xf>
    <xf numFmtId="164" fontId="14" fillId="9" borderId="2" xfId="0" applyFont="true" applyBorder="true" applyAlignment="true" applyProtection="false">
      <alignment horizontal="general" vertical="bottom" textRotation="0" wrapText="false" indent="0" shrinkToFit="false"/>
      <protection locked="true" hidden="false"/>
    </xf>
    <xf numFmtId="165" fontId="14" fillId="9" borderId="2" xfId="0" applyFont="true" applyBorder="true" applyAlignment="true" applyProtection="false">
      <alignment horizontal="center" vertical="bottom" textRotation="0" wrapText="false" indent="0" shrinkToFit="false"/>
      <protection locked="true" hidden="false"/>
    </xf>
    <xf numFmtId="164" fontId="14" fillId="9" borderId="2" xfId="0" applyFont="true" applyBorder="true" applyAlignment="true" applyProtection="false">
      <alignment horizontal="center" vertical="bottom" textRotation="0" wrapText="false" indent="0" shrinkToFit="false"/>
      <protection locked="true" hidden="false"/>
    </xf>
    <xf numFmtId="169" fontId="14" fillId="9" borderId="2" xfId="0" applyFont="true" applyBorder="true" applyAlignment="true" applyProtection="false">
      <alignment horizontal="center" vertical="bottom" textRotation="0" wrapText="fals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5" fillId="9" borderId="2" xfId="0" applyFont="true" applyBorder="true" applyAlignment="true" applyProtection="false">
      <alignment horizontal="left"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6" fillId="9"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general" vertical="top" textRotation="0" wrapText="true" indent="0" shrinkToFit="false"/>
      <protection locked="true" hidden="false"/>
    </xf>
    <xf numFmtId="164" fontId="14" fillId="9" borderId="2" xfId="0" applyFont="true" applyBorder="true" applyAlignment="true" applyProtection="false">
      <alignment horizontal="left" vertical="top" textRotation="0" wrapText="tru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4" fontId="16" fillId="0" borderId="2"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5" fillId="4" borderId="2"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xml version="1.0" encoding="UTF-8"?>
<Relationships xmlns="http://schemas.openxmlformats.org/package/2006/relationships"><Relationship Id="rId1" Type="http://schemas.openxmlformats.org/officeDocument/2006/relationships/hyperlink" Target="https://us.list-manage.com/15mnGAdGXRZ?e=01d924e174&amp;c2id=7f435ad9505e7cfa25e5b2dd12a4011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E46"/>
    <pageSetUpPr fitToPage="false"/>
  </sheetPr>
  <dimension ref="A1:D26"/>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C7" activeCellId="0" sqref="C7"/>
    </sheetView>
  </sheetViews>
  <sheetFormatPr defaultColWidth="8.4296875" defaultRowHeight="15" zeroHeight="false" outlineLevelRow="0" outlineLevelCol="0"/>
  <cols>
    <col collapsed="false" customWidth="true" hidden="false" outlineLevel="0" max="1" min="1" style="1" width="46"/>
    <col collapsed="false" customWidth="true" hidden="false" outlineLevel="0" max="4" min="2" style="1" width="30"/>
  </cols>
  <sheetData>
    <row r="1" customFormat="false" ht="17.25" hidden="false" customHeight="true" outlineLevel="0" collapsed="false">
      <c r="A1" s="2" t="s">
        <v>0</v>
      </c>
      <c r="B1" s="3"/>
      <c r="C1" s="3"/>
      <c r="D1" s="3"/>
    </row>
    <row r="3" customFormat="false" ht="51.75" hidden="false" customHeight="true" outlineLevel="0" collapsed="false">
      <c r="A3" s="4" t="s">
        <v>1</v>
      </c>
      <c r="B3" s="4"/>
      <c r="C3" s="4"/>
      <c r="D3" s="4"/>
    </row>
    <row r="6" customFormat="false" ht="15" hidden="false" customHeight="true" outlineLevel="0" collapsed="false">
      <c r="A6" s="5" t="s">
        <v>2</v>
      </c>
    </row>
    <row r="7" customFormat="false" ht="62.25" hidden="false" customHeight="true" outlineLevel="0" collapsed="false">
      <c r="A7" s="6" t="s">
        <v>3</v>
      </c>
    </row>
    <row r="9" customFormat="false" ht="15" hidden="false" customHeight="true" outlineLevel="0" collapsed="false">
      <c r="A9" s="5" t="s">
        <v>4</v>
      </c>
    </row>
    <row r="10" customFormat="false" ht="62.25" hidden="false" customHeight="true" outlineLevel="0" collapsed="false">
      <c r="A10" s="4" t="s">
        <v>5</v>
      </c>
      <c r="B10" s="4"/>
      <c r="C10" s="4"/>
      <c r="D10" s="4"/>
    </row>
    <row r="12" customFormat="false" ht="15" hidden="false" customHeight="true" outlineLevel="0" collapsed="false">
      <c r="A12" s="5" t="s">
        <v>6</v>
      </c>
    </row>
    <row r="13" customFormat="false" ht="25.5" hidden="false" customHeight="true" outlineLevel="0" collapsed="false">
      <c r="A13" s="4" t="s">
        <v>7</v>
      </c>
      <c r="B13" s="4"/>
      <c r="C13" s="4"/>
      <c r="D13" s="4"/>
    </row>
    <row r="15" customFormat="false" ht="15" hidden="false" customHeight="true" outlineLevel="0" collapsed="false">
      <c r="A15" s="5" t="s">
        <v>8</v>
      </c>
    </row>
    <row r="16" customFormat="false" ht="37.5" hidden="false" customHeight="true" outlineLevel="0" collapsed="false">
      <c r="A16" s="4" t="s">
        <v>9</v>
      </c>
      <c r="B16" s="4"/>
      <c r="C16" s="4"/>
      <c r="D16" s="4"/>
    </row>
    <row r="18" customFormat="false" ht="15" hidden="false" customHeight="true" outlineLevel="0" collapsed="false">
      <c r="A18" s="7" t="s">
        <v>10</v>
      </c>
    </row>
    <row r="19" customFormat="false" ht="30" hidden="false" customHeight="true" outlineLevel="0" collapsed="false">
      <c r="A19" s="6" t="s">
        <v>11</v>
      </c>
    </row>
    <row r="20" customFormat="false" ht="30" hidden="false" customHeight="true" outlineLevel="0" collapsed="false">
      <c r="A20" s="4" t="s">
        <v>12</v>
      </c>
      <c r="B20" s="4"/>
      <c r="C20" s="4"/>
      <c r="D20" s="4"/>
    </row>
    <row r="21" customFormat="false" ht="30" hidden="false" customHeight="true" outlineLevel="0" collapsed="false">
      <c r="A21" s="4" t="s">
        <v>13</v>
      </c>
      <c r="B21" s="4"/>
      <c r="C21" s="4"/>
      <c r="D21" s="4"/>
    </row>
    <row r="22" customFormat="false" ht="30" hidden="false" customHeight="true" outlineLevel="0" collapsed="false">
      <c r="A22" s="4" t="s">
        <v>14</v>
      </c>
      <c r="B22" s="4"/>
      <c r="C22" s="4"/>
      <c r="D22" s="4"/>
    </row>
    <row r="23" customFormat="false" ht="30" hidden="false" customHeight="true" outlineLevel="0" collapsed="false">
      <c r="A23" s="4" t="s">
        <v>15</v>
      </c>
      <c r="B23" s="4"/>
      <c r="C23" s="4"/>
      <c r="D23" s="4"/>
    </row>
    <row r="24" customFormat="false" ht="15" hidden="false" customHeight="false" outlineLevel="0" collapsed="false">
      <c r="A24" s="1" t="s">
        <v>16</v>
      </c>
    </row>
    <row r="25" customFormat="false" ht="15" hidden="false" customHeight="true" outlineLevel="0" collapsed="false">
      <c r="A25" s="5" t="s">
        <v>17</v>
      </c>
    </row>
    <row r="26" customFormat="false" ht="60" hidden="false" customHeight="true" outlineLevel="0" collapsed="false">
      <c r="A26" s="4" t="s">
        <v>18</v>
      </c>
      <c r="B26" s="4"/>
      <c r="C26" s="4"/>
      <c r="D26" s="4"/>
    </row>
  </sheetData>
  <mergeCells count="9">
    <mergeCell ref="A3:D3"/>
    <mergeCell ref="A10:D10"/>
    <mergeCell ref="A13:D13"/>
    <mergeCell ref="A16:D16"/>
    <mergeCell ref="A20:D20"/>
    <mergeCell ref="A21:D21"/>
    <mergeCell ref="A22:D22"/>
    <mergeCell ref="A23:D23"/>
    <mergeCell ref="A26:D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L16" activeCellId="0" sqref="L16"/>
    </sheetView>
  </sheetViews>
  <sheetFormatPr defaultColWidth="14.4296875" defaultRowHeight="15" zeroHeight="false" outlineLevelRow="0" outlineLevelCol="0"/>
  <cols>
    <col collapsed="false" customWidth="true" hidden="false" outlineLevel="0" max="1" min="1" style="1" width="24"/>
    <col collapsed="false" customWidth="true" hidden="false" outlineLevel="0" max="2" min="2" style="1" width="9"/>
    <col collapsed="false" customWidth="true" hidden="false" outlineLevel="0" max="3" min="3" style="1" width="8"/>
    <col collapsed="false" customWidth="true" hidden="false" outlineLevel="0" max="4" min="4" style="1" width="19.96"/>
    <col collapsed="false" customWidth="true" hidden="false" outlineLevel="0" max="5" min="5" style="1" width="7"/>
    <col collapsed="false" customWidth="true" hidden="false" outlineLevel="0" max="6" min="6" style="1" width="15.82"/>
    <col collapsed="false" customWidth="true" hidden="false" outlineLevel="0" max="7" min="7" style="1" width="7"/>
    <col collapsed="false" customWidth="true" hidden="false" outlineLevel="0" max="8" min="8" style="1" width="18.66"/>
    <col collapsed="false" customWidth="true" hidden="false" outlineLevel="0" max="9" min="9" style="1" width="7"/>
    <col collapsed="false" customWidth="true" hidden="false" outlineLevel="0" max="10" min="10" style="1" width="11"/>
    <col collapsed="false" customWidth="true" hidden="false" outlineLevel="0" max="11" min="11" style="1" width="13"/>
    <col collapsed="false" customWidth="true" hidden="false" outlineLevel="0" max="12" min="12" style="1" width="34"/>
    <col collapsed="false" customWidth="true" hidden="false" outlineLevel="0" max="13" min="13" style="1" width="19.71"/>
    <col collapsed="false" customWidth="true" hidden="false" outlineLevel="0" max="25" min="14" style="1" width="8.71"/>
    <col collapsed="false" customWidth="true" hidden="false" outlineLevel="0" max="16384" min="16384" style="1" width="10.16"/>
  </cols>
  <sheetData>
    <row r="1" customFormat="false" ht="24" hidden="false" customHeight="true" outlineLevel="0" collapsed="false">
      <c r="A1" s="8" t="s">
        <v>19</v>
      </c>
      <c r="B1" s="8"/>
      <c r="C1" s="8"/>
      <c r="D1" s="8"/>
      <c r="E1" s="8"/>
      <c r="F1" s="8"/>
      <c r="G1" s="8"/>
      <c r="H1" s="8"/>
      <c r="I1" s="8"/>
      <c r="J1" s="8"/>
      <c r="K1" s="8"/>
      <c r="L1" s="8"/>
    </row>
    <row r="2" customFormat="false" ht="30" hidden="false" customHeight="true" outlineLevel="0" collapsed="false">
      <c r="A2" s="9" t="s">
        <v>20</v>
      </c>
      <c r="B2" s="9" t="s">
        <v>21</v>
      </c>
      <c r="C2" s="9" t="s">
        <v>22</v>
      </c>
      <c r="D2" s="9" t="s">
        <v>23</v>
      </c>
      <c r="E2" s="9" t="s">
        <v>24</v>
      </c>
      <c r="F2" s="9" t="s">
        <v>25</v>
      </c>
      <c r="G2" s="9" t="s">
        <v>26</v>
      </c>
      <c r="H2" s="9" t="s">
        <v>27</v>
      </c>
      <c r="I2" s="9" t="s">
        <v>28</v>
      </c>
      <c r="J2" s="9" t="s">
        <v>29</v>
      </c>
      <c r="K2" s="9" t="s">
        <v>30</v>
      </c>
      <c r="L2" s="9" t="s">
        <v>31</v>
      </c>
      <c r="M2" s="9" t="s">
        <v>32</v>
      </c>
      <c r="N2" s="9" t="s">
        <v>33</v>
      </c>
      <c r="O2" s="1" t="s">
        <v>34</v>
      </c>
    </row>
    <row r="3" customFormat="false" ht="23.25" hidden="false" customHeight="true" outlineLevel="0" collapsed="false">
      <c r="A3" s="10" t="s">
        <v>35</v>
      </c>
      <c r="B3" s="11" t="n">
        <v>30</v>
      </c>
      <c r="C3" s="12" t="n">
        <f aca="false">B3/$B$24</f>
        <v>0.0395778364116095</v>
      </c>
      <c r="D3" s="10" t="s">
        <v>36</v>
      </c>
      <c r="E3" s="13" t="n">
        <v>4</v>
      </c>
      <c r="F3" s="10" t="s">
        <v>37</v>
      </c>
      <c r="G3" s="13" t="n">
        <v>2</v>
      </c>
      <c r="H3" s="10" t="s">
        <v>38</v>
      </c>
      <c r="I3" s="13" t="n">
        <v>0.75</v>
      </c>
      <c r="J3" s="13" t="n">
        <v>0</v>
      </c>
      <c r="K3" s="13" t="n">
        <v>0</v>
      </c>
      <c r="L3" s="14" t="s">
        <v>39</v>
      </c>
      <c r="M3" s="10" t="s">
        <v>40</v>
      </c>
      <c r="N3" s="15" t="n">
        <f aca="false">B3*Assumptions!$B$39*Assumptions!$B$40</f>
        <v>15.75</v>
      </c>
      <c r="O3" s="1" t="s">
        <v>41</v>
      </c>
    </row>
    <row r="4" customFormat="false" ht="23.25" hidden="false" customHeight="true" outlineLevel="0" collapsed="false">
      <c r="A4" s="10" t="s">
        <v>42</v>
      </c>
      <c r="B4" s="11" t="n">
        <f aca="false">Assumptions!$B$60</f>
        <v>30</v>
      </c>
      <c r="C4" s="12" t="n">
        <f aca="false">B4/$B$24</f>
        <v>0.0395778364116095</v>
      </c>
      <c r="D4" s="10" t="s">
        <v>43</v>
      </c>
      <c r="E4" s="13" t="n">
        <v>6</v>
      </c>
      <c r="F4" s="10" t="s">
        <v>44</v>
      </c>
      <c r="G4" s="13" t="n">
        <v>2.5</v>
      </c>
      <c r="H4" s="10" t="s">
        <v>45</v>
      </c>
      <c r="I4" s="13" t="n">
        <v>0.5</v>
      </c>
      <c r="J4" s="13" t="n">
        <v>0</v>
      </c>
      <c r="K4" s="13" t="n">
        <v>0</v>
      </c>
      <c r="L4" s="14" t="s">
        <v>46</v>
      </c>
      <c r="M4" s="10"/>
      <c r="N4" s="15" t="n">
        <v>0</v>
      </c>
    </row>
    <row r="5" customFormat="false" ht="15" hidden="false" customHeight="true" outlineLevel="0" collapsed="false">
      <c r="A5" s="10" t="s">
        <v>47</v>
      </c>
      <c r="B5" s="11" t="n">
        <v>130</v>
      </c>
      <c r="C5" s="12" t="n">
        <f aca="false">B5/$B$24</f>
        <v>0.171503957783641</v>
      </c>
      <c r="D5" s="10" t="s">
        <v>48</v>
      </c>
      <c r="E5" s="13" t="n">
        <v>4</v>
      </c>
      <c r="F5" s="10" t="s">
        <v>49</v>
      </c>
      <c r="G5" s="13" t="n">
        <v>0.25</v>
      </c>
      <c r="H5" s="10" t="s">
        <v>50</v>
      </c>
      <c r="I5" s="13" t="n">
        <v>0.25</v>
      </c>
      <c r="J5" s="13" t="n">
        <v>2</v>
      </c>
      <c r="K5" s="13" t="n">
        <v>0</v>
      </c>
      <c r="L5" s="14" t="s">
        <v>51</v>
      </c>
      <c r="M5" s="10" t="s">
        <v>52</v>
      </c>
      <c r="N5" s="15" t="n">
        <f aca="false">B5*Assumptions!$B$39*Assumptions!$B$40</f>
        <v>68.25</v>
      </c>
      <c r="O5" s="1" t="s">
        <v>53</v>
      </c>
    </row>
    <row r="6" customFormat="false" ht="15" hidden="false" customHeight="true" outlineLevel="0" collapsed="false">
      <c r="A6" s="10" t="s">
        <v>54</v>
      </c>
      <c r="B6" s="11" t="n">
        <v>50</v>
      </c>
      <c r="C6" s="12" t="n">
        <f aca="false">B6/$B$24</f>
        <v>0.0659630606860158</v>
      </c>
      <c r="D6" s="10" t="s">
        <v>55</v>
      </c>
      <c r="E6" s="13" t="n">
        <v>4</v>
      </c>
      <c r="F6" s="10"/>
      <c r="G6" s="13" t="n">
        <v>0</v>
      </c>
      <c r="H6" s="10"/>
      <c r="I6" s="13" t="n">
        <v>0</v>
      </c>
      <c r="J6" s="13" t="n">
        <v>1</v>
      </c>
      <c r="K6" s="13" t="n">
        <v>1</v>
      </c>
      <c r="L6" s="14"/>
      <c r="M6" s="10" t="s">
        <v>40</v>
      </c>
      <c r="N6" s="15" t="n">
        <f aca="false">B6*Assumptions!$B$39*Assumptions!$B$40</f>
        <v>26.25</v>
      </c>
    </row>
    <row r="7" customFormat="false" ht="15" hidden="false" customHeight="true" outlineLevel="0" collapsed="false">
      <c r="A7" s="10" t="s">
        <v>56</v>
      </c>
      <c r="B7" s="11" t="n">
        <v>50</v>
      </c>
      <c r="C7" s="12" t="n">
        <f aca="false">B7/$B$24</f>
        <v>0.0659630606860158</v>
      </c>
      <c r="D7" s="10" t="s">
        <v>57</v>
      </c>
      <c r="E7" s="13" t="n">
        <v>4</v>
      </c>
      <c r="F7" s="10" t="s">
        <v>58</v>
      </c>
      <c r="G7" s="13" t="n">
        <v>2</v>
      </c>
      <c r="H7" s="10"/>
      <c r="I7" s="13" t="n">
        <v>0</v>
      </c>
      <c r="J7" s="13" t="n">
        <v>1</v>
      </c>
      <c r="K7" s="13" t="n">
        <v>0</v>
      </c>
      <c r="L7" s="14" t="s">
        <v>59</v>
      </c>
      <c r="M7" s="10" t="s">
        <v>60</v>
      </c>
      <c r="N7" s="15" t="n">
        <f aca="false">B7*Assumptions!$B$39*Assumptions!$B$40</f>
        <v>26.25</v>
      </c>
    </row>
    <row r="8" customFormat="false" ht="15" hidden="false" customHeight="true" outlineLevel="0" collapsed="false">
      <c r="A8" s="10" t="s">
        <v>61</v>
      </c>
      <c r="B8" s="11" t="n">
        <v>30</v>
      </c>
      <c r="C8" s="12" t="n">
        <f aca="false">B8/$B$24</f>
        <v>0.0395778364116095</v>
      </c>
      <c r="D8" s="10" t="s">
        <v>62</v>
      </c>
      <c r="E8" s="13" t="n">
        <v>4</v>
      </c>
      <c r="F8" s="10" t="s">
        <v>63</v>
      </c>
      <c r="G8" s="13" t="n">
        <v>1</v>
      </c>
      <c r="H8" s="10"/>
      <c r="I8" s="13" t="n">
        <v>0</v>
      </c>
      <c r="J8" s="13" t="n">
        <v>1</v>
      </c>
      <c r="K8" s="13" t="n">
        <v>0</v>
      </c>
      <c r="L8" s="14" t="s">
        <v>64</v>
      </c>
      <c r="M8" s="10" t="s">
        <v>65</v>
      </c>
      <c r="N8" s="15" t="n">
        <f aca="false">B8*Assumptions!$B$39*Assumptions!$B$40</f>
        <v>15.75</v>
      </c>
    </row>
    <row r="9" customFormat="false" ht="15" hidden="false" customHeight="true" outlineLevel="0" collapsed="false">
      <c r="A9" s="10" t="s">
        <v>66</v>
      </c>
      <c r="B9" s="11" t="n">
        <v>40</v>
      </c>
      <c r="C9" s="12" t="n">
        <f aca="false">B9/$B$24</f>
        <v>0.0527704485488127</v>
      </c>
      <c r="D9" s="10" t="s">
        <v>67</v>
      </c>
      <c r="E9" s="13" t="n">
        <v>4</v>
      </c>
      <c r="F9" s="10" t="s">
        <v>49</v>
      </c>
      <c r="G9" s="13" t="n">
        <v>0.5</v>
      </c>
      <c r="H9" s="10"/>
      <c r="I9" s="13" t="n">
        <v>0</v>
      </c>
      <c r="J9" s="13" t="n">
        <v>1</v>
      </c>
      <c r="K9" s="13" t="n">
        <v>0.5</v>
      </c>
      <c r="L9" s="14" t="s">
        <v>68</v>
      </c>
      <c r="M9" s="10" t="s">
        <v>52</v>
      </c>
      <c r="N9" s="15" t="n">
        <f aca="false">B9*Assumptions!$B$39*Assumptions!$B$40</f>
        <v>21</v>
      </c>
      <c r="O9" s="1" t="s">
        <v>53</v>
      </c>
    </row>
    <row r="10" customFormat="false" ht="15" hidden="false" customHeight="true" outlineLevel="0" collapsed="false">
      <c r="A10" s="10" t="s">
        <v>69</v>
      </c>
      <c r="B10" s="11" t="n">
        <v>40</v>
      </c>
      <c r="C10" s="12" t="n">
        <f aca="false">B10/$B$24</f>
        <v>0.0527704485488127</v>
      </c>
      <c r="D10" s="10" t="s">
        <v>67</v>
      </c>
      <c r="E10" s="13" t="n">
        <v>4</v>
      </c>
      <c r="F10" s="10" t="s">
        <v>49</v>
      </c>
      <c r="G10" s="13" t="n">
        <v>0.25</v>
      </c>
      <c r="H10" s="10" t="s">
        <v>70</v>
      </c>
      <c r="I10" s="13" t="n">
        <v>0.25</v>
      </c>
      <c r="J10" s="13" t="n">
        <v>1</v>
      </c>
      <c r="K10" s="13" t="n">
        <v>0.5</v>
      </c>
      <c r="L10" s="14" t="s">
        <v>71</v>
      </c>
      <c r="M10" s="10" t="s">
        <v>65</v>
      </c>
      <c r="N10" s="15" t="n">
        <f aca="false">B10*Assumptions!$B$39*Assumptions!$B$40</f>
        <v>21</v>
      </c>
      <c r="O10" s="16" t="s">
        <v>53</v>
      </c>
    </row>
    <row r="11" customFormat="false" ht="23.25" hidden="false" customHeight="true" outlineLevel="0" collapsed="false">
      <c r="A11" s="10" t="s">
        <v>72</v>
      </c>
      <c r="B11" s="17" t="n">
        <v>20</v>
      </c>
      <c r="C11" s="12" t="n">
        <f aca="false">B11/$B$24</f>
        <v>0.0263852242744063</v>
      </c>
      <c r="D11" s="10" t="s">
        <v>73</v>
      </c>
      <c r="E11" s="13" t="n">
        <v>4</v>
      </c>
      <c r="F11" s="10" t="s">
        <v>74</v>
      </c>
      <c r="G11" s="13" t="n">
        <v>0.5</v>
      </c>
      <c r="H11" s="10" t="s">
        <v>75</v>
      </c>
      <c r="I11" s="13" t="n">
        <v>3</v>
      </c>
      <c r="J11" s="13" t="n">
        <v>0</v>
      </c>
      <c r="K11" s="13" t="n">
        <v>0</v>
      </c>
      <c r="L11" s="18" t="s">
        <v>76</v>
      </c>
      <c r="M11" s="10" t="s">
        <v>40</v>
      </c>
      <c r="N11" s="15" t="n">
        <f aca="false">B11*Assumptions!$B$39*Assumptions!$B$40</f>
        <v>10.5</v>
      </c>
    </row>
    <row r="12" customFormat="false" ht="23.25" hidden="false" customHeight="true" outlineLevel="0" collapsed="false">
      <c r="A12" s="10" t="s">
        <v>77</v>
      </c>
      <c r="B12" s="11" t="n">
        <v>50</v>
      </c>
      <c r="C12" s="12" t="n">
        <f aca="false">B12/$B$24</f>
        <v>0.0659630606860158</v>
      </c>
      <c r="D12" s="10" t="s">
        <v>78</v>
      </c>
      <c r="E12" s="13" t="n">
        <v>4</v>
      </c>
      <c r="F12" s="10" t="s">
        <v>70</v>
      </c>
      <c r="G12" s="13" t="n">
        <v>0.25</v>
      </c>
      <c r="H12" s="10" t="s">
        <v>45</v>
      </c>
      <c r="I12" s="13" t="n">
        <v>0.5</v>
      </c>
      <c r="J12" s="13" t="n">
        <v>1</v>
      </c>
      <c r="K12" s="13" t="n">
        <v>0</v>
      </c>
      <c r="L12" s="14" t="s">
        <v>79</v>
      </c>
      <c r="M12" s="10" t="s">
        <v>60</v>
      </c>
      <c r="N12" s="15" t="n">
        <f aca="false">B12*Assumptions!$B$39*Assumptions!$B$40</f>
        <v>26.25</v>
      </c>
    </row>
    <row r="13" customFormat="false" ht="15" hidden="false" customHeight="true" outlineLevel="0" collapsed="false">
      <c r="A13" s="10" t="s">
        <v>80</v>
      </c>
      <c r="B13" s="11" t="n">
        <v>33</v>
      </c>
      <c r="C13" s="12" t="n">
        <f aca="false">B13/$B$24</f>
        <v>0.0435356200527705</v>
      </c>
      <c r="D13" s="10" t="s">
        <v>81</v>
      </c>
      <c r="E13" s="13" t="n">
        <v>4</v>
      </c>
      <c r="F13" s="10" t="s">
        <v>82</v>
      </c>
      <c r="G13" s="13" t="n">
        <v>0.5</v>
      </c>
      <c r="H13" s="10" t="s">
        <v>83</v>
      </c>
      <c r="I13" s="13" t="n">
        <v>0.5</v>
      </c>
      <c r="J13" s="13" t="n">
        <v>0</v>
      </c>
      <c r="K13" s="13" t="n">
        <v>0</v>
      </c>
      <c r="L13" s="14" t="s">
        <v>84</v>
      </c>
      <c r="M13" s="10"/>
      <c r="N13" s="15" t="n">
        <v>0</v>
      </c>
    </row>
    <row r="14" customFormat="false" ht="15" hidden="false" customHeight="true" outlineLevel="0" collapsed="false">
      <c r="A14" s="10" t="s">
        <v>85</v>
      </c>
      <c r="B14" s="11" t="n">
        <v>30</v>
      </c>
      <c r="C14" s="12" t="n">
        <f aca="false">B14/$B$24</f>
        <v>0.0395778364116095</v>
      </c>
      <c r="D14" s="10" t="s">
        <v>86</v>
      </c>
      <c r="E14" s="13" t="n">
        <v>4</v>
      </c>
      <c r="F14" s="10" t="s">
        <v>70</v>
      </c>
      <c r="G14" s="13" t="n">
        <v>0.25</v>
      </c>
      <c r="H14" s="10" t="s">
        <v>74</v>
      </c>
      <c r="I14" s="13" t="n">
        <v>0.5</v>
      </c>
      <c r="J14" s="13" t="n">
        <v>2</v>
      </c>
      <c r="K14" s="13" t="n">
        <v>0</v>
      </c>
      <c r="L14" s="14" t="s">
        <v>87</v>
      </c>
      <c r="M14" s="10" t="s">
        <v>52</v>
      </c>
      <c r="N14" s="15" t="n">
        <f aca="false">B14*Assumptions!$B$39*Assumptions!$B$40</f>
        <v>15.75</v>
      </c>
      <c r="O14" s="16" t="s">
        <v>53</v>
      </c>
    </row>
    <row r="15" customFormat="false" ht="15" hidden="false" customHeight="true" outlineLevel="0" collapsed="false">
      <c r="A15" s="10" t="s">
        <v>88</v>
      </c>
      <c r="B15" s="11" t="n">
        <v>25</v>
      </c>
      <c r="C15" s="12" t="n">
        <f aca="false">B15/$B$24</f>
        <v>0.0329815303430079</v>
      </c>
      <c r="D15" s="10" t="s">
        <v>78</v>
      </c>
      <c r="E15" s="13" t="n">
        <v>4</v>
      </c>
      <c r="F15" s="10" t="s">
        <v>89</v>
      </c>
      <c r="G15" s="13" t="n">
        <v>0.5</v>
      </c>
      <c r="H15" s="10" t="s">
        <v>45</v>
      </c>
      <c r="I15" s="13" t="n">
        <v>0.5</v>
      </c>
      <c r="J15" s="13" t="n">
        <v>0</v>
      </c>
      <c r="K15" s="13" t="n">
        <v>0</v>
      </c>
      <c r="L15" s="14" t="s">
        <v>90</v>
      </c>
      <c r="M15" s="10" t="s">
        <v>60</v>
      </c>
      <c r="N15" s="15" t="n">
        <f aca="false">B15*Assumptions!$B$39*Assumptions!$B$40</f>
        <v>13.125</v>
      </c>
    </row>
    <row r="16" customFormat="false" ht="32.25" hidden="false" customHeight="true" outlineLevel="0" collapsed="false">
      <c r="A16" s="10" t="s">
        <v>91</v>
      </c>
      <c r="B16" s="11" t="n">
        <v>25</v>
      </c>
      <c r="C16" s="12" t="n">
        <f aca="false">B16/$B$24</f>
        <v>0.0329815303430079</v>
      </c>
      <c r="D16" s="10" t="s">
        <v>92</v>
      </c>
      <c r="E16" s="13" t="n">
        <v>4</v>
      </c>
      <c r="F16" s="10" t="s">
        <v>38</v>
      </c>
      <c r="G16" s="13" t="n">
        <v>0.5</v>
      </c>
      <c r="H16" s="10" t="s">
        <v>45</v>
      </c>
      <c r="I16" s="13" t="n">
        <v>0.5</v>
      </c>
      <c r="J16" s="13" t="n">
        <v>0</v>
      </c>
      <c r="K16" s="13" t="n">
        <v>0</v>
      </c>
      <c r="L16" s="14" t="s">
        <v>93</v>
      </c>
      <c r="M16" s="10" t="s">
        <v>60</v>
      </c>
      <c r="N16" s="15" t="n">
        <f aca="false">B16*Assumptions!$B$39*Assumptions!$B$40</f>
        <v>13.125</v>
      </c>
    </row>
    <row r="17" customFormat="false" ht="15" hidden="false" customHeight="true" outlineLevel="0" collapsed="false">
      <c r="A17" s="10" t="s">
        <v>94</v>
      </c>
      <c r="B17" s="11" t="n">
        <v>25</v>
      </c>
      <c r="C17" s="12" t="n">
        <f aca="false">B17/$B$24</f>
        <v>0.0329815303430079</v>
      </c>
      <c r="D17" s="10" t="s">
        <v>95</v>
      </c>
      <c r="E17" s="13" t="n">
        <v>4</v>
      </c>
      <c r="F17" s="10" t="s">
        <v>50</v>
      </c>
      <c r="G17" s="13" t="n">
        <v>0.5</v>
      </c>
      <c r="H17" s="10" t="s">
        <v>45</v>
      </c>
      <c r="I17" s="13" t="n">
        <v>0.5</v>
      </c>
      <c r="J17" s="13" t="n">
        <v>2</v>
      </c>
      <c r="K17" s="13" t="n">
        <v>0</v>
      </c>
      <c r="L17" s="14" t="s">
        <v>96</v>
      </c>
      <c r="M17" s="10" t="s">
        <v>40</v>
      </c>
      <c r="N17" s="15" t="n">
        <f aca="false">B17*Assumptions!$B$39*Assumptions!$B$40</f>
        <v>13.125</v>
      </c>
      <c r="O17" s="1" t="s">
        <v>53</v>
      </c>
    </row>
    <row r="18" customFormat="false" ht="102" hidden="false" customHeight="true" outlineLevel="0" collapsed="false">
      <c r="A18" s="10" t="s">
        <v>97</v>
      </c>
      <c r="B18" s="11" t="n">
        <v>25</v>
      </c>
      <c r="C18" s="12" t="n">
        <f aca="false">B18/$B$24</f>
        <v>0.0329815303430079</v>
      </c>
      <c r="D18" s="10" t="s">
        <v>95</v>
      </c>
      <c r="E18" s="13" t="n">
        <v>2</v>
      </c>
      <c r="F18" s="10" t="s">
        <v>50</v>
      </c>
      <c r="G18" s="13" t="n">
        <v>0.75</v>
      </c>
      <c r="H18" s="10" t="s">
        <v>75</v>
      </c>
      <c r="I18" s="13" t="n">
        <v>3</v>
      </c>
      <c r="J18" s="13" t="n">
        <v>0</v>
      </c>
      <c r="K18" s="13" t="n">
        <v>0</v>
      </c>
      <c r="L18" s="14" t="s">
        <v>98</v>
      </c>
      <c r="M18" s="10" t="s">
        <v>40</v>
      </c>
      <c r="N18" s="15" t="n">
        <f aca="false">B18*Assumptions!$B$39*Assumptions!$B$40</f>
        <v>13.125</v>
      </c>
      <c r="O18" s="1" t="s">
        <v>53</v>
      </c>
    </row>
    <row r="19" customFormat="false" ht="15.75" hidden="false" customHeight="true" outlineLevel="0" collapsed="false">
      <c r="A19" s="19" t="s">
        <v>99</v>
      </c>
      <c r="B19" s="17" t="n">
        <v>40</v>
      </c>
      <c r="C19" s="20" t="n">
        <f aca="false">B19/$B$24</f>
        <v>0.0527704485488127</v>
      </c>
      <c r="D19" s="20" t="s">
        <v>100</v>
      </c>
      <c r="E19" s="20" t="n">
        <v>4</v>
      </c>
      <c r="F19" s="20" t="s">
        <v>49</v>
      </c>
      <c r="G19" s="20" t="n">
        <v>0.5</v>
      </c>
      <c r="H19" s="20"/>
      <c r="I19" s="20" t="n">
        <v>0</v>
      </c>
      <c r="J19" s="20" t="n">
        <v>2</v>
      </c>
      <c r="K19" s="20" t="n">
        <v>1</v>
      </c>
      <c r="L19" s="21" t="s">
        <v>101</v>
      </c>
      <c r="M19" s="20" t="s">
        <v>102</v>
      </c>
      <c r="N19" s="22" t="n">
        <f aca="false">B19*Assumptions!$B$39*Assumptions!$B$40</f>
        <v>21</v>
      </c>
      <c r="O19" s="1" t="s">
        <v>53</v>
      </c>
    </row>
    <row r="20" customFormat="false" ht="15.75" hidden="false" customHeight="true" outlineLevel="0" collapsed="false">
      <c r="A20" s="23" t="s">
        <v>103</v>
      </c>
      <c r="B20" s="24" t="n">
        <v>20</v>
      </c>
      <c r="C20" s="1" t="n">
        <f aca="false">B20/$B$24</f>
        <v>0.0263852242744063</v>
      </c>
      <c r="D20" s="1" t="s">
        <v>104</v>
      </c>
      <c r="E20" s="1" t="n">
        <v>3</v>
      </c>
      <c r="J20" s="1" t="n">
        <v>5</v>
      </c>
      <c r="K20" s="1" t="n">
        <v>0</v>
      </c>
      <c r="L20" s="6" t="s">
        <v>105</v>
      </c>
      <c r="M20" s="1" t="s">
        <v>60</v>
      </c>
      <c r="N20" s="1" t="n">
        <f aca="false">B20*Assumptions!$B$39*Assumptions!$B$40</f>
        <v>10.5</v>
      </c>
      <c r="O20" s="1" t="s">
        <v>106</v>
      </c>
    </row>
    <row r="21" customFormat="false" ht="15.75" hidden="false" customHeight="true" outlineLevel="0" collapsed="false">
      <c r="A21" s="23" t="s">
        <v>107</v>
      </c>
      <c r="B21" s="24" t="n">
        <v>20</v>
      </c>
      <c r="C21" s="1" t="n">
        <f aca="false">B21/$B$24</f>
        <v>0.0263852242744063</v>
      </c>
      <c r="E21" s="1" t="n">
        <v>0</v>
      </c>
      <c r="F21" s="1" t="s">
        <v>45</v>
      </c>
      <c r="G21" s="1" t="n">
        <v>0.5</v>
      </c>
      <c r="I21" s="1" t="n">
        <v>0</v>
      </c>
      <c r="J21" s="1" t="n">
        <v>6</v>
      </c>
      <c r="K21" s="1" t="n">
        <v>0</v>
      </c>
      <c r="L21" s="6" t="s">
        <v>108</v>
      </c>
      <c r="M21" s="1" t="s">
        <v>60</v>
      </c>
      <c r="N21" s="1" t="n">
        <f aca="false">B21*Assumptions!$B$222*Assumptions!$B$40</f>
        <v>30</v>
      </c>
    </row>
    <row r="22" customFormat="false" ht="15.75" hidden="false" customHeight="true" outlineLevel="0" collapsed="false">
      <c r="A22" s="23" t="s">
        <v>109</v>
      </c>
      <c r="B22" s="24" t="n">
        <v>20</v>
      </c>
      <c r="C22" s="1" t="n">
        <f aca="false">B22/$B$24</f>
        <v>0.0263852242744063</v>
      </c>
      <c r="D22" s="1" t="s">
        <v>110</v>
      </c>
      <c r="E22" s="1" t="n">
        <v>4</v>
      </c>
      <c r="G22" s="1" t="n">
        <v>0</v>
      </c>
      <c r="H22" s="25" t="s">
        <v>111</v>
      </c>
      <c r="I22" s="1" t="n">
        <v>1</v>
      </c>
      <c r="J22" s="1" t="n">
        <v>0</v>
      </c>
      <c r="K22" s="1" t="n">
        <v>0</v>
      </c>
      <c r="L22" s="6" t="s">
        <v>112</v>
      </c>
      <c r="M22" s="1" t="s">
        <v>60</v>
      </c>
      <c r="N22" s="1" t="n">
        <f aca="false">B22*Assumptions!$B$222*Assumptions!$B$40</f>
        <v>30</v>
      </c>
    </row>
    <row r="23" customFormat="false" ht="15.75" hidden="false" customHeight="true" outlineLevel="0" collapsed="false">
      <c r="A23" s="23" t="s">
        <v>113</v>
      </c>
      <c r="B23" s="24" t="n">
        <v>25</v>
      </c>
      <c r="C23" s="1" t="n">
        <f aca="false">B23/$B$24</f>
        <v>0.0329815303430079</v>
      </c>
      <c r="D23" s="1" t="s">
        <v>104</v>
      </c>
      <c r="E23" s="1" t="n">
        <v>3</v>
      </c>
      <c r="H23" s="1" t="s">
        <v>114</v>
      </c>
      <c r="I23" s="1" t="n">
        <v>0.5</v>
      </c>
      <c r="J23" s="1" t="n">
        <v>4.5</v>
      </c>
      <c r="K23" s="1" t="n">
        <v>0</v>
      </c>
      <c r="L23" s="6" t="s">
        <v>115</v>
      </c>
      <c r="M23" s="1" t="s">
        <v>60</v>
      </c>
      <c r="N23" s="1" t="n">
        <f aca="false">B23*Assumptions!$B$39*Assumptions!$B$40</f>
        <v>13.125</v>
      </c>
      <c r="O23" s="1" t="s">
        <v>106</v>
      </c>
    </row>
    <row r="24" customFormat="false" ht="15.75" hidden="false" customHeight="true" outlineLevel="0" collapsed="false">
      <c r="A24" s="23" t="s">
        <v>116</v>
      </c>
      <c r="B24" s="23" t="n">
        <f aca="false">SUM(B3:B23)</f>
        <v>758</v>
      </c>
      <c r="N24" s="1" t="n">
        <f aca="false">SUM(N3:N23)</f>
        <v>403.875</v>
      </c>
      <c r="O24" s="1" t="s">
        <v>117</v>
      </c>
    </row>
    <row r="25" customFormat="false" ht="15.75" hidden="false" customHeight="true" outlineLevel="0" collapsed="false"/>
    <row r="26" customFormat="false" ht="15.75" hidden="false" customHeight="true" outlineLevel="0" collapsed="false">
      <c r="A26" s="26" t="s">
        <v>118</v>
      </c>
      <c r="B26" s="26"/>
      <c r="C26" s="26"/>
      <c r="D26" s="26"/>
      <c r="E26" s="26"/>
      <c r="F26" s="26"/>
      <c r="G26" s="26"/>
      <c r="H26" s="26"/>
      <c r="I26" s="26"/>
      <c r="J26" s="26"/>
      <c r="K26" s="26"/>
      <c r="L26" s="26"/>
    </row>
    <row r="27" customFormat="false" ht="15.75" hidden="false" customHeight="true" outlineLevel="0" collapsed="false">
      <c r="A27" s="1" t="s">
        <v>20</v>
      </c>
      <c r="B27" s="1" t="s">
        <v>21</v>
      </c>
      <c r="C27" s="1" t="s">
        <v>22</v>
      </c>
      <c r="D27" s="1" t="s">
        <v>23</v>
      </c>
      <c r="E27" s="1" t="s">
        <v>24</v>
      </c>
      <c r="F27" s="1" t="s">
        <v>25</v>
      </c>
      <c r="G27" s="1" t="s">
        <v>26</v>
      </c>
      <c r="H27" s="1" t="s">
        <v>27</v>
      </c>
      <c r="I27" s="1" t="s">
        <v>28</v>
      </c>
      <c r="J27" s="1" t="s">
        <v>29</v>
      </c>
      <c r="K27" s="1" t="s">
        <v>30</v>
      </c>
      <c r="L27" s="1" t="s">
        <v>31</v>
      </c>
      <c r="M27" s="1" t="s">
        <v>32</v>
      </c>
      <c r="N27" s="1" t="s">
        <v>33</v>
      </c>
      <c r="O27" s="1" t="s">
        <v>34</v>
      </c>
    </row>
    <row r="28" customFormat="false" ht="15.75" hidden="false" customHeight="true" outlineLevel="0" collapsed="false">
      <c r="A28" s="1" t="s">
        <v>119</v>
      </c>
      <c r="B28" s="1" t="n">
        <f aca="false">Assumptions!$B$286</f>
        <v>99</v>
      </c>
      <c r="C28" s="1" t="n">
        <f aca="false">B28/$B$34</f>
        <v>0.250632911392405</v>
      </c>
      <c r="D28" s="1" t="s">
        <v>120</v>
      </c>
      <c r="L28" s="1" t="s">
        <v>121</v>
      </c>
      <c r="M28" s="1" t="s">
        <v>40</v>
      </c>
      <c r="N28" s="1" t="n">
        <f aca="false">B28*Assumptions!$B$277*Assumptions!$B$40</f>
        <v>148.5</v>
      </c>
      <c r="O28" s="1" t="s">
        <v>122</v>
      </c>
    </row>
    <row r="29" customFormat="false" ht="15.75" hidden="false" customHeight="true" outlineLevel="0" collapsed="false">
      <c r="A29" s="1" t="s">
        <v>123</v>
      </c>
      <c r="B29" s="1" t="n">
        <f aca="false">Assumptions!$B$287</f>
        <v>99</v>
      </c>
      <c r="C29" s="1" t="n">
        <f aca="false">B29/$B$34</f>
        <v>0.250632911392405</v>
      </c>
      <c r="D29" s="1" t="s">
        <v>124</v>
      </c>
      <c r="E29" s="1" t="n">
        <f aca="false">Assumptions!$B$293</f>
        <v>4</v>
      </c>
      <c r="L29" s="1" t="s">
        <v>125</v>
      </c>
      <c r="M29" s="1" t="s">
        <v>40</v>
      </c>
      <c r="N29" s="1" t="n">
        <f aca="false">B29*Assumptions!$B$277*Assumptions!$B$40</f>
        <v>148.5</v>
      </c>
      <c r="O29" s="1" t="s">
        <v>122</v>
      </c>
    </row>
    <row r="30" customFormat="false" ht="15.75" hidden="false" customHeight="true" outlineLevel="0" collapsed="false">
      <c r="A30" s="1" t="s">
        <v>126</v>
      </c>
      <c r="B30" s="1" t="n">
        <f aca="false">Assumptions!$B$288</f>
        <v>99</v>
      </c>
      <c r="C30" s="1" t="n">
        <f aca="false">B30/$B$34</f>
        <v>0.250632911392405</v>
      </c>
      <c r="D30" s="1" t="s">
        <v>127</v>
      </c>
      <c r="E30" s="1" t="n">
        <f aca="false">Assumptions!$B$294</f>
        <v>4</v>
      </c>
      <c r="L30" s="1" t="s">
        <v>128</v>
      </c>
      <c r="M30" s="1" t="s">
        <v>40</v>
      </c>
      <c r="N30" s="1" t="n">
        <f aca="false">B30*Assumptions!$B$277*Assumptions!$B$40</f>
        <v>148.5</v>
      </c>
      <c r="O30" s="1" t="s">
        <v>122</v>
      </c>
    </row>
    <row r="31" customFormat="false" ht="15.75" hidden="false" customHeight="true" outlineLevel="0" collapsed="false">
      <c r="A31" s="1" t="s">
        <v>129</v>
      </c>
      <c r="B31" s="1" t="n">
        <f aca="false">Assumptions!$B$289</f>
        <v>39</v>
      </c>
      <c r="C31" s="1" t="n">
        <f aca="false">B31/$B$34</f>
        <v>0.0987341772151899</v>
      </c>
      <c r="D31" s="1" t="s">
        <v>130</v>
      </c>
      <c r="E31" s="1" t="n">
        <v>4</v>
      </c>
      <c r="L31" s="1" t="s">
        <v>131</v>
      </c>
      <c r="M31" s="1" t="s">
        <v>40</v>
      </c>
      <c r="N31" s="1" t="n">
        <f aca="false">B31*Assumptions!$B$277*Assumptions!$B$40</f>
        <v>58.5</v>
      </c>
      <c r="O31" s="1" t="s">
        <v>122</v>
      </c>
    </row>
    <row r="32" customFormat="false" ht="15.75" hidden="false" customHeight="true" outlineLevel="0" collapsed="false">
      <c r="A32" s="1" t="s">
        <v>132</v>
      </c>
      <c r="B32" s="1" t="n">
        <f aca="false">Assumptions!$B$290</f>
        <v>39</v>
      </c>
      <c r="C32" s="1" t="n">
        <f aca="false">B32/$B$34</f>
        <v>0.0987341772151899</v>
      </c>
      <c r="D32" s="1" t="s">
        <v>57</v>
      </c>
      <c r="E32" s="1" t="n">
        <v>4</v>
      </c>
      <c r="L32" s="1" t="s">
        <v>133</v>
      </c>
      <c r="M32" s="1" t="s">
        <v>40</v>
      </c>
      <c r="N32" s="1" t="n">
        <f aca="false">B32*Assumptions!$B$277*Assumptions!$B$40</f>
        <v>58.5</v>
      </c>
      <c r="O32" s="1" t="s">
        <v>122</v>
      </c>
    </row>
    <row r="33" customFormat="false" ht="15.75" hidden="false" customHeight="true" outlineLevel="0" collapsed="false">
      <c r="A33" s="1" t="s">
        <v>134</v>
      </c>
      <c r="B33" s="1" t="n">
        <f aca="false">Assumptions!$B$291</f>
        <v>20</v>
      </c>
      <c r="C33" s="1" t="n">
        <f aca="false">B33/$B$34</f>
        <v>0.0506329113924051</v>
      </c>
      <c r="D33" s="1" t="s">
        <v>135</v>
      </c>
      <c r="E33" s="1" t="n">
        <v>4</v>
      </c>
      <c r="L33" s="1" t="s">
        <v>136</v>
      </c>
      <c r="M33" s="1" t="s">
        <v>40</v>
      </c>
      <c r="N33" s="1" t="n">
        <f aca="false">B33*Assumptions!$B$277*Assumptions!$B$40</f>
        <v>30</v>
      </c>
      <c r="O33" s="1" t="s">
        <v>122</v>
      </c>
    </row>
    <row r="34" customFormat="false" ht="15.75" hidden="false" customHeight="true" outlineLevel="0" collapsed="false">
      <c r="A34" s="1" t="s">
        <v>137</v>
      </c>
      <c r="B34" s="1" t="n">
        <f aca="false">SUM(B28:B33)</f>
        <v>395</v>
      </c>
      <c r="N34" s="1" t="n">
        <f aca="false">SUM(N28:N33)</f>
        <v>592.5</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1048575" customFormat="false" ht="12.75" hidden="false" customHeight="true" outlineLevel="0" collapsed="false"/>
    <row r="1048576" customFormat="false" ht="12.75" hidden="false" customHeight="true" outlineLevel="0" collapsed="false"/>
  </sheetData>
  <mergeCells count="2">
    <mergeCell ref="A1:L1"/>
    <mergeCell ref="A26:L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3B0"/>
    <pageSetUpPr fitToPage="false"/>
  </sheetPr>
  <dimension ref="A1:S104857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5" activeCellId="0" sqref="F5"/>
    </sheetView>
  </sheetViews>
  <sheetFormatPr defaultColWidth="8.4296875" defaultRowHeight="15" zeroHeight="false" outlineLevelRow="0" outlineLevelCol="0"/>
  <cols>
    <col collapsed="false" customWidth="true" hidden="false" outlineLevel="0" max="1" min="1" style="1" width="10"/>
    <col collapsed="false" customWidth="true" hidden="false" outlineLevel="0" max="2" min="2" style="1" width="6"/>
    <col collapsed="false" customWidth="true" hidden="false" outlineLevel="0" max="3" min="3" style="1" width="34"/>
    <col collapsed="false" customWidth="true" hidden="false" outlineLevel="0" max="4" min="4" style="1" width="12"/>
    <col collapsed="false" customWidth="true" hidden="false" outlineLevel="0" max="5" min="5" style="1" width="26"/>
    <col collapsed="false" customWidth="true" hidden="false" outlineLevel="0" max="6" min="6" style="1" width="18.34"/>
    <col collapsed="false" customWidth="true" hidden="false" outlineLevel="0" max="7" min="7" style="1" width="10"/>
    <col collapsed="false" customWidth="true" hidden="false" outlineLevel="0" max="10" min="8" style="1" width="12"/>
    <col collapsed="false" customWidth="true" hidden="false" outlineLevel="0" max="11" min="11" style="1" width="14"/>
    <col collapsed="false" customWidth="true" hidden="false" outlineLevel="0" max="12" min="12" style="1" width="55"/>
    <col collapsed="false" customWidth="true" hidden="false" outlineLevel="0" max="14" min="13" style="1" width="12"/>
    <col collapsed="false" customWidth="true" hidden="false" outlineLevel="0" max="16" min="15" style="1" width="14"/>
    <col collapsed="false" customWidth="true" hidden="false" outlineLevel="0" max="17" min="17" style="1" width="26"/>
  </cols>
  <sheetData>
    <row r="1" customFormat="false" ht="15" hidden="false" customHeight="true" outlineLevel="0" collapsed="false">
      <c r="A1" s="5" t="s">
        <v>138</v>
      </c>
    </row>
    <row r="2" customFormat="false" ht="15" hidden="false" customHeight="true" outlineLevel="0" collapsed="false">
      <c r="A2" s="6" t="s">
        <v>139</v>
      </c>
    </row>
    <row r="3" customFormat="false" ht="15" hidden="false" customHeight="true" outlineLevel="0" collapsed="false">
      <c r="A3" s="5" t="s">
        <v>140</v>
      </c>
      <c r="B3" s="27" t="s">
        <v>141</v>
      </c>
      <c r="C3" s="5" t="s">
        <v>142</v>
      </c>
      <c r="D3" s="5" t="s">
        <v>143</v>
      </c>
      <c r="E3" s="5" t="s">
        <v>21</v>
      </c>
      <c r="F3" s="5" t="s">
        <v>144</v>
      </c>
      <c r="G3" s="5" t="s">
        <v>145</v>
      </c>
      <c r="H3" s="5" t="s">
        <v>146</v>
      </c>
      <c r="I3" s="5" t="s">
        <v>147</v>
      </c>
      <c r="J3" s="5" t="s">
        <v>148</v>
      </c>
      <c r="K3" s="5" t="s">
        <v>149</v>
      </c>
      <c r="L3" s="5" t="s">
        <v>150</v>
      </c>
      <c r="M3" s="5" t="s">
        <v>151</v>
      </c>
      <c r="N3" s="5" t="s">
        <v>152</v>
      </c>
      <c r="O3" s="5" t="s">
        <v>153</v>
      </c>
      <c r="P3" s="5" t="s">
        <v>154</v>
      </c>
      <c r="Q3" s="5" t="s">
        <v>155</v>
      </c>
      <c r="R3" s="5" t="s">
        <v>156</v>
      </c>
      <c r="S3" s="5" t="s">
        <v>157</v>
      </c>
    </row>
    <row r="4" customFormat="false" ht="15" hidden="false" customHeight="true" outlineLevel="0" collapsed="false">
      <c r="A4" s="5" t="s">
        <v>158</v>
      </c>
      <c r="B4" s="24" t="n">
        <v>1</v>
      </c>
      <c r="C4" s="5" t="s">
        <v>159</v>
      </c>
      <c r="D4" s="5" t="str">
        <f aca="false">IF(B4=1,"10 L jug",B4&amp;" x 10 L jugs")</f>
        <v>10 L jug</v>
      </c>
      <c r="E4" s="28" t="n">
        <f aca="false">B4*Assumptions!$B$117</f>
        <v>33</v>
      </c>
      <c r="F4" s="5" t="s">
        <v>95</v>
      </c>
      <c r="G4" s="5" t="n">
        <f aca="false">E4*2.5</f>
        <v>82.5</v>
      </c>
      <c r="H4" s="5" t="s">
        <v>160</v>
      </c>
      <c r="I4" s="5" t="n">
        <f aca="false">E4*1.5</f>
        <v>49.5</v>
      </c>
      <c r="J4" s="5" t="s">
        <v>161</v>
      </c>
      <c r="K4" s="5" t="n">
        <f aca="false">E4*1</f>
        <v>33</v>
      </c>
      <c r="L4" s="5" t="s">
        <v>135</v>
      </c>
      <c r="M4" s="5" t="n">
        <f aca="false">E4*1</f>
        <v>33</v>
      </c>
      <c r="N4" s="5" t="s">
        <v>162</v>
      </c>
      <c r="O4" s="5" t="n">
        <v>0</v>
      </c>
      <c r="P4" s="5" t="s">
        <v>40</v>
      </c>
      <c r="Q4" s="5" t="s">
        <v>60</v>
      </c>
      <c r="R4" s="1" t="n">
        <f aca="false">E4*Assumptions!$B$39*Assumptions!$B$40</f>
        <v>17.325</v>
      </c>
      <c r="S4" s="6" t="s">
        <v>163</v>
      </c>
    </row>
    <row r="5" customFormat="false" ht="15" hidden="false" customHeight="true" outlineLevel="0" collapsed="false">
      <c r="A5" s="1" t="s">
        <v>164</v>
      </c>
      <c r="B5" s="24" t="n">
        <v>1</v>
      </c>
      <c r="C5" s="1" t="s">
        <v>165</v>
      </c>
      <c r="D5" s="1" t="str">
        <f aca="false">IF(B5=1,"10 L jug",B5&amp;" x 10 L jugs")</f>
        <v>10 L jug</v>
      </c>
      <c r="E5" s="29" t="n">
        <f aca="false">B5*Assumptions!$B$117</f>
        <v>33</v>
      </c>
      <c r="F5" s="1" t="s">
        <v>166</v>
      </c>
      <c r="G5" s="1" t="n">
        <f aca="false">E5*Assumptions!$B$51</f>
        <v>105.6</v>
      </c>
      <c r="H5" s="1" t="s">
        <v>167</v>
      </c>
      <c r="I5" s="1" t="n">
        <f aca="false">E5*Assumptions!$B$54</f>
        <v>11.55</v>
      </c>
      <c r="J5" s="1" t="s">
        <v>168</v>
      </c>
      <c r="K5" s="1" t="n">
        <v>5</v>
      </c>
      <c r="L5" s="1" t="s">
        <v>169</v>
      </c>
      <c r="M5" s="1" t="n">
        <v>0</v>
      </c>
      <c r="N5" s="1" t="s">
        <v>170</v>
      </c>
      <c r="O5" s="1" t="n">
        <v>0</v>
      </c>
      <c r="P5" s="1" t="s">
        <v>60</v>
      </c>
      <c r="Q5" s="1" t="s">
        <v>40</v>
      </c>
      <c r="R5" s="1" t="n">
        <f aca="false">E5*Assumptions!$B$39*Assumptions!$B$40</f>
        <v>17.325</v>
      </c>
      <c r="S5" s="1" t="s">
        <v>171</v>
      </c>
    </row>
    <row r="6" customFormat="false" ht="15" hidden="false" customHeight="true" outlineLevel="0" collapsed="false">
      <c r="A6" s="1" t="s">
        <v>172</v>
      </c>
      <c r="B6" s="24" t="n">
        <v>1</v>
      </c>
      <c r="C6" s="1" t="s">
        <v>173</v>
      </c>
      <c r="D6" s="1" t="str">
        <f aca="false">IF(B6=1,"10 L jug",B6&amp;" x 10 L jugs")</f>
        <v>10 L jug</v>
      </c>
      <c r="E6" s="29" t="n">
        <f aca="false">B6*Assumptions!$B$117</f>
        <v>33</v>
      </c>
      <c r="F6" s="1" t="s">
        <v>174</v>
      </c>
      <c r="G6" s="1" t="n">
        <f aca="false">E6*Assumptions!$B$142</f>
        <v>1.98</v>
      </c>
      <c r="H6" s="1" t="s">
        <v>57</v>
      </c>
      <c r="I6" s="1" t="n">
        <f aca="false">E6*3</f>
        <v>99</v>
      </c>
      <c r="J6" s="1" t="s">
        <v>161</v>
      </c>
      <c r="K6" s="1" t="n">
        <f aca="false">E6*0.5</f>
        <v>16.5</v>
      </c>
      <c r="L6" s="1" t="s">
        <v>175</v>
      </c>
      <c r="M6" s="1" t="n">
        <v>0</v>
      </c>
      <c r="O6" s="1" t="n">
        <v>0</v>
      </c>
      <c r="P6" s="1" t="s">
        <v>65</v>
      </c>
      <c r="Q6" s="1" t="s">
        <v>102</v>
      </c>
      <c r="R6" s="1" t="n">
        <f aca="false">E6*Assumptions!$B$39*Assumptions!$B$40</f>
        <v>17.325</v>
      </c>
      <c r="S6" s="1" t="s">
        <v>176</v>
      </c>
    </row>
    <row r="7" customFormat="false" ht="15" hidden="false" customHeight="true" outlineLevel="0" collapsed="false">
      <c r="A7" s="1" t="s">
        <v>177</v>
      </c>
      <c r="B7" s="24" t="n">
        <v>2</v>
      </c>
      <c r="C7" s="1" t="s">
        <v>178</v>
      </c>
      <c r="D7" s="1" t="str">
        <f aca="false">IF(B7=1,"10 L jug",B7&amp;" x 10 L jugs")</f>
        <v>2 x 10 L jugs</v>
      </c>
      <c r="E7" s="28" t="n">
        <f aca="false">B7*Assumptions!$B$117</f>
        <v>66</v>
      </c>
      <c r="F7" s="5" t="s">
        <v>179</v>
      </c>
      <c r="G7" s="5" t="n">
        <f aca="false">E7*Assumptions!$B$124</f>
        <v>5.61</v>
      </c>
      <c r="H7" s="5" t="s">
        <v>167</v>
      </c>
      <c r="I7" s="5" t="n">
        <f aca="false">E7*0.5</f>
        <v>33</v>
      </c>
      <c r="J7" s="5" t="s">
        <v>161</v>
      </c>
      <c r="K7" s="5" t="n">
        <f aca="false">E7*0.5</f>
        <v>33</v>
      </c>
      <c r="L7" s="5" t="s">
        <v>170</v>
      </c>
      <c r="M7" s="5" t="n">
        <v>0</v>
      </c>
      <c r="N7" s="5"/>
      <c r="O7" s="5" t="n">
        <v>0</v>
      </c>
      <c r="P7" s="5" t="s">
        <v>60</v>
      </c>
      <c r="Q7" s="5" t="s">
        <v>102</v>
      </c>
      <c r="R7" s="1" t="n">
        <f aca="false">E7*Assumptions!$B$39*Assumptions!$B$40</f>
        <v>34.65</v>
      </c>
      <c r="S7" s="6" t="s">
        <v>180</v>
      </c>
    </row>
    <row r="8" customFormat="false" ht="15" hidden="false" customHeight="true" outlineLevel="0" collapsed="false">
      <c r="A8" s="1" t="s">
        <v>181</v>
      </c>
      <c r="B8" s="24" t="n">
        <v>1</v>
      </c>
      <c r="C8" s="1" t="s">
        <v>182</v>
      </c>
      <c r="D8" s="1" t="str">
        <f aca="false">IF(B8=1,"10 L jug",B8&amp;" x 10 L jugs")</f>
        <v>10 L jug</v>
      </c>
      <c r="E8" s="29" t="n">
        <f aca="false">B8*Assumptions!$B$117</f>
        <v>33</v>
      </c>
      <c r="F8" s="1" t="s">
        <v>127</v>
      </c>
      <c r="G8" s="1" t="n">
        <f aca="false">E8*3</f>
        <v>99</v>
      </c>
      <c r="H8" s="1" t="s">
        <v>183</v>
      </c>
      <c r="I8" s="1" t="n">
        <f aca="false">E8*2.5</f>
        <v>82.5</v>
      </c>
      <c r="J8" s="1" t="s">
        <v>184</v>
      </c>
      <c r="K8" s="1" t="n">
        <v>0</v>
      </c>
      <c r="L8" s="1" t="s">
        <v>161</v>
      </c>
      <c r="M8" s="1" t="n">
        <f aca="false">E8*0.5</f>
        <v>16.5</v>
      </c>
      <c r="N8" s="1" t="s">
        <v>38</v>
      </c>
      <c r="O8" s="1" t="n">
        <f aca="false">E8*0.5</f>
        <v>16.5</v>
      </c>
      <c r="P8" s="1" t="s">
        <v>185</v>
      </c>
      <c r="Q8" s="1" t="s">
        <v>102</v>
      </c>
      <c r="R8" s="1" t="n">
        <f aca="false">E8*Assumptions!$B$39*Assumptions!$B$40</f>
        <v>17.325</v>
      </c>
      <c r="S8" s="6" t="s">
        <v>186</v>
      </c>
    </row>
    <row r="9" customFormat="false" ht="15" hidden="false" customHeight="true" outlineLevel="0" collapsed="false">
      <c r="A9" s="1" t="s">
        <v>187</v>
      </c>
      <c r="B9" s="24" t="n">
        <v>1</v>
      </c>
      <c r="C9" s="1" t="s">
        <v>188</v>
      </c>
      <c r="D9" s="1" t="str">
        <f aca="false">IF(B9=1,"10 L jug",B9&amp;" x 10 L jugs")</f>
        <v>10 L jug</v>
      </c>
      <c r="E9" s="29" t="n">
        <f aca="false">B9*Assumptions!$B$117</f>
        <v>33</v>
      </c>
      <c r="F9" s="1" t="s">
        <v>189</v>
      </c>
      <c r="G9" s="1" t="n">
        <f aca="false">E9*5</f>
        <v>165</v>
      </c>
      <c r="H9" s="1" t="s">
        <v>190</v>
      </c>
      <c r="I9" s="1" t="n">
        <f aca="false">E9*0.5</f>
        <v>16.5</v>
      </c>
      <c r="J9" s="1" t="s">
        <v>191</v>
      </c>
      <c r="K9" s="1" t="n">
        <f aca="false">E9*0.25</f>
        <v>8.25</v>
      </c>
      <c r="L9" s="1" t="s">
        <v>175</v>
      </c>
      <c r="M9" s="1" t="n">
        <v>0</v>
      </c>
      <c r="P9" s="1" t="s">
        <v>102</v>
      </c>
      <c r="Q9" s="1" t="s">
        <v>52</v>
      </c>
      <c r="R9" s="1" t="n">
        <f aca="false">E9*Assumptions!$B$39*Assumptions!$B$40</f>
        <v>17.325</v>
      </c>
      <c r="S9" s="6" t="s">
        <v>192</v>
      </c>
    </row>
    <row r="10" customFormat="false" ht="15" hidden="false" customHeight="true" outlineLevel="0" collapsed="false">
      <c r="A10" s="1" t="s">
        <v>193</v>
      </c>
      <c r="B10" s="24" t="n">
        <v>1</v>
      </c>
      <c r="C10" s="1" t="s">
        <v>194</v>
      </c>
      <c r="D10" s="1" t="str">
        <f aca="false">IF(B10=1,"10 L jug",B10&amp;" x 10 L jugs")</f>
        <v>10 L jug</v>
      </c>
      <c r="E10" s="29" t="n">
        <f aca="false">B10*Assumptions!$B$117</f>
        <v>33</v>
      </c>
      <c r="F10" s="1" t="s">
        <v>195</v>
      </c>
      <c r="G10" s="1" t="n">
        <f aca="false">E10*8</f>
        <v>264</v>
      </c>
      <c r="H10" s="1" t="s">
        <v>196</v>
      </c>
      <c r="I10" s="1" t="n">
        <f aca="false">E10*1</f>
        <v>33</v>
      </c>
      <c r="J10" s="1" t="s">
        <v>197</v>
      </c>
      <c r="K10" s="1" t="n">
        <f aca="false">E10*0.5</f>
        <v>16.5</v>
      </c>
      <c r="L10" s="1" t="s">
        <v>167</v>
      </c>
      <c r="M10" s="1" t="n">
        <f aca="false">E10*0.25</f>
        <v>8.25</v>
      </c>
      <c r="N10" s="1" t="s">
        <v>175</v>
      </c>
      <c r="O10" s="1" t="n">
        <v>0</v>
      </c>
      <c r="P10" s="1" t="s">
        <v>65</v>
      </c>
      <c r="Q10" s="1" t="s">
        <v>40</v>
      </c>
      <c r="R10" s="1" t="n">
        <f aca="false">E10*Assumptions!$B$39*Assumptions!$B$40</f>
        <v>17.325</v>
      </c>
      <c r="S10" s="30" t="s">
        <v>198</v>
      </c>
    </row>
    <row r="11" customFormat="false" ht="15" hidden="false" customHeight="true" outlineLevel="0" collapsed="false">
      <c r="A11" s="1" t="s">
        <v>199</v>
      </c>
      <c r="B11" s="24" t="n">
        <v>1</v>
      </c>
      <c r="C11" s="1" t="s">
        <v>200</v>
      </c>
      <c r="D11" s="1" t="str">
        <f aca="false">IF(B11=1,"10 L jug",B11&amp;" x 10 L jugs")</f>
        <v>10 L jug</v>
      </c>
      <c r="E11" s="29" t="n">
        <f aca="false">B11*Assumptions!$B$117</f>
        <v>33</v>
      </c>
      <c r="F11" s="1" t="s">
        <v>195</v>
      </c>
      <c r="G11" s="1" t="n">
        <f aca="false">E11*8</f>
        <v>264</v>
      </c>
      <c r="H11" s="1" t="s">
        <v>196</v>
      </c>
      <c r="I11" s="1" t="n">
        <f aca="false">E11*1</f>
        <v>33</v>
      </c>
      <c r="J11" s="1" t="s">
        <v>197</v>
      </c>
      <c r="K11" s="1" t="n">
        <f aca="false">E11*0.5</f>
        <v>16.5</v>
      </c>
      <c r="L11" s="1" t="s">
        <v>167</v>
      </c>
      <c r="M11" s="1" t="n">
        <f aca="false">E11*0.25</f>
        <v>8.25</v>
      </c>
      <c r="N11" s="1" t="s">
        <v>175</v>
      </c>
      <c r="O11" s="1" t="n">
        <v>0</v>
      </c>
      <c r="P11" s="1" t="s">
        <v>65</v>
      </c>
      <c r="Q11" s="1" t="s">
        <v>40</v>
      </c>
      <c r="R11" s="1" t="n">
        <f aca="false">E11*Assumptions!$B$39*Assumptions!$B$40</f>
        <v>17.325</v>
      </c>
      <c r="S11" s="30" t="s">
        <v>201</v>
      </c>
    </row>
    <row r="12" customFormat="false" ht="15" hidden="false" customHeight="true" outlineLevel="0" collapsed="false">
      <c r="A12" s="1" t="s">
        <v>202</v>
      </c>
      <c r="B12" s="1" t="s">
        <v>120</v>
      </c>
      <c r="C12" s="1" t="s">
        <v>203</v>
      </c>
      <c r="S12" s="1" t="s">
        <v>204</v>
      </c>
    </row>
    <row r="13" customFormat="false" ht="15" hidden="false" customHeight="true" outlineLevel="0" collapsed="false">
      <c r="A13" s="1" t="s">
        <v>205</v>
      </c>
      <c r="B13" s="1" t="s">
        <v>120</v>
      </c>
      <c r="C13" s="1" t="s">
        <v>206</v>
      </c>
      <c r="D13" s="1" t="s">
        <v>207</v>
      </c>
      <c r="S13" s="1" t="s">
        <v>208</v>
      </c>
    </row>
    <row r="14" customFormat="false" ht="15" hidden="false" customHeight="true" outlineLevel="0" collapsed="false">
      <c r="C14" s="1" t="s">
        <v>209</v>
      </c>
    </row>
    <row r="15" customFormat="false" ht="15" hidden="false" customHeight="true" outlineLevel="0" collapsed="false"/>
    <row r="17" customFormat="false" ht="15" hidden="false" customHeight="true" outlineLevel="0" collapsed="false">
      <c r="A17" s="5" t="s">
        <v>210</v>
      </c>
      <c r="B17" s="1" t="s">
        <v>211</v>
      </c>
      <c r="C17" s="1" t="s">
        <v>212</v>
      </c>
      <c r="D17" s="1" t="s">
        <v>213</v>
      </c>
      <c r="E17" s="1" t="s">
        <v>214</v>
      </c>
      <c r="F17" s="1" t="s">
        <v>215</v>
      </c>
      <c r="G17" s="1" t="s">
        <v>216</v>
      </c>
    </row>
    <row r="18" customFormat="false" ht="15" hidden="false" customHeight="true" outlineLevel="0" collapsed="false">
      <c r="A18" s="1" t="s">
        <v>217</v>
      </c>
      <c r="B18" s="1" t="n">
        <f aca="false">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105.6</v>
      </c>
      <c r="C18" s="1" t="n">
        <f aca="false">B18*(1+Assumptions!$B$5)</f>
        <v>121.44</v>
      </c>
      <c r="D18" s="1" t="n">
        <f aca="false">CEILING(C18/Assumptions!$B$76,1)</f>
        <v>2</v>
      </c>
      <c r="E18" s="1" t="n">
        <f aca="false">Assumptions!$B$77</f>
        <v>7</v>
      </c>
      <c r="F18" s="1" t="n">
        <f aca="false">D18*E18</f>
        <v>14</v>
      </c>
      <c r="G18" s="1" t="s">
        <v>218</v>
      </c>
    </row>
    <row r="19" customFormat="false" ht="15" hidden="false" customHeight="true" outlineLevel="0" collapsed="false">
      <c r="A19" s="1" t="s">
        <v>219</v>
      </c>
      <c r="B19" s="1" t="n">
        <f aca="false">SUMPRODUCT(('Jug Recipes'!$F$4:$F$15="Agave syrup")*'Jug Recipes'!$G$4:$G$15)+SUMPRODUCT(('Jug Recipes'!$H$4:$H$15="Agave syrup")*'Jug Recipes'!$I$4:$I$15)+SUMPRODUCT(('Jug Recipes'!$J$4:$J$15="Agave syrup")*'Jug Recipes'!$K$4:$K$15)+SUMPRODUCT(('Jug Recipes'!$L$4:$L$15="Agave syrup")*'Jug Recipes'!$M$4:$M$15)+SUMPRODUCT(('Jug Recipes'!$N$4:$N$15="Agave syrup")*'Jug Recipes'!$O$4:$O$15)</f>
        <v>61.05</v>
      </c>
      <c r="C19" s="1" t="n">
        <f aca="false">B19*(1+Assumptions!$B$5)</f>
        <v>70.2075</v>
      </c>
      <c r="D19" s="1" t="n">
        <f aca="false">CEILING(C19/Assumptions!$B$132,1)</f>
        <v>2</v>
      </c>
      <c r="E19" s="1" t="n">
        <f aca="false">Assumptions!$B$133</f>
        <v>4.75</v>
      </c>
      <c r="F19" s="1" t="n">
        <f aca="false">D19*E19</f>
        <v>9.5</v>
      </c>
      <c r="G19" s="1" t="s">
        <v>220</v>
      </c>
    </row>
    <row r="20" customFormat="false" ht="15" hidden="false" customHeight="true" outlineLevel="0" collapsed="false">
      <c r="A20" s="1" t="s">
        <v>221</v>
      </c>
      <c r="F20" s="1" t="n">
        <f aca="false">F18+F19+SUM(F23:F32)</f>
        <v>129.74</v>
      </c>
    </row>
    <row r="21" customFormat="false" ht="15" hidden="false" customHeight="true" outlineLevel="0" collapsed="false">
      <c r="A21" s="1" t="s">
        <v>222</v>
      </c>
      <c r="B21" s="1" t="n">
        <f aca="false">SUM(E4:E15)</f>
        <v>297</v>
      </c>
    </row>
    <row r="22" customFormat="false" ht="15" hidden="false" customHeight="true" outlineLevel="0" collapsed="false">
      <c r="A22" s="1" t="s">
        <v>223</v>
      </c>
    </row>
    <row r="23" customFormat="false" ht="15" hidden="false" customHeight="true" outlineLevel="0" collapsed="false">
      <c r="A23" s="1" t="s">
        <v>224</v>
      </c>
      <c r="B23" s="1" t="n">
        <f aca="false">SUMPRODUCT(('Jug Recipes'!$F$4:$F$15="Orange juice")*'Jug Recipes'!$G$4:$G$15)+SUMPRODUCT(('Jug Recipes'!$H$4:$H$15="Orange juice")*'Jug Recipes'!$I$4:$I$15)+SUMPRODUCT(('Jug Recipes'!$J$4:$J$15="Orange juice")*'Jug Recipes'!$K$4:$K$15)+SUMPRODUCT(('Jug Recipes'!$L$4:$L$15="Orange juice")*'Jug Recipes'!$M$4:$M$15)+SUMPRODUCT(('Jug Recipes'!$N$4:$N$15="Orange juice")*'Jug Recipes'!$O$4:$O$15)</f>
        <v>99</v>
      </c>
      <c r="C23" s="1" t="n">
        <f aca="false">B23*(1+Assumptions!$B$5)</f>
        <v>113.85</v>
      </c>
      <c r="D23" s="1" t="n">
        <f aca="false">CEILING(C23/Assumptions!$B$69,1)</f>
        <v>2</v>
      </c>
      <c r="E23" s="1" t="n">
        <f aca="false">Assumptions!$B$70</f>
        <v>7.49</v>
      </c>
      <c r="F23" s="1" t="n">
        <f aca="false">D23*E23</f>
        <v>14.98</v>
      </c>
      <c r="G23" s="1" t="s">
        <v>225</v>
      </c>
    </row>
    <row r="24" customFormat="false" ht="15" hidden="false" customHeight="true" outlineLevel="0" collapsed="false">
      <c r="A24" s="1" t="s">
        <v>226</v>
      </c>
      <c r="B24" s="1" t="n">
        <f aca="false">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82.5</v>
      </c>
      <c r="C24" s="1" t="n">
        <f aca="false">B24*(1+Assumptions!$B$5)</f>
        <v>94.875</v>
      </c>
      <c r="D24" s="1" t="n">
        <f aca="false">CEILING(C24/Assumptions!$B$71,1)</f>
        <v>1</v>
      </c>
      <c r="E24" s="1" t="n">
        <f aca="false">Assumptions!$B$72</f>
        <v>13.99</v>
      </c>
      <c r="F24" s="1" t="n">
        <f aca="false">D24*E24</f>
        <v>13.99</v>
      </c>
      <c r="G24" s="1" t="s">
        <v>227</v>
      </c>
    </row>
    <row r="25" customFormat="false" ht="15" hidden="false" customHeight="true" outlineLevel="0" collapsed="false">
      <c r="A25" s="1" t="s">
        <v>228</v>
      </c>
      <c r="B25" s="1" t="n">
        <f aca="false">SUMPRODUCT(('Jug Recipes'!$F$4:$F$15="Grenadine")*'Jug Recipes'!$G$4:$G$15)+SUMPRODUCT(('Jug Recipes'!$H$4:$H$15="Grenadine")*'Jug Recipes'!$I$4:$I$15)+SUMPRODUCT(('Jug Recipes'!$J$4:$J$15="Grenadine")*'Jug Recipes'!$K$4:$K$15)+SUMPRODUCT(('Jug Recipes'!$L$4:$L$15="Grenadine")*'Jug Recipes'!$M$4:$M$15)+SUMPRODUCT(('Jug Recipes'!$N$4:$N$15="Grenadine")*'Jug Recipes'!$O$4:$O$15)</f>
        <v>0</v>
      </c>
      <c r="C25" s="1" t="n">
        <f aca="false">B25*(1+Assumptions!$B$5)</f>
        <v>0</v>
      </c>
      <c r="D25" s="1" t="n">
        <f aca="false">CEILING(C25/Assumptions!$B$73,1)</f>
        <v>0</v>
      </c>
      <c r="E25" s="1" t="n">
        <f aca="false">Assumptions!$B$74</f>
        <v>7.5</v>
      </c>
      <c r="F25" s="1" t="n">
        <f aca="false">D25*E25</f>
        <v>0</v>
      </c>
      <c r="G25" s="1" t="s">
        <v>229</v>
      </c>
    </row>
    <row r="26" customFormat="false" ht="15" hidden="false" customHeight="true" outlineLevel="0" collapsed="false">
      <c r="A26" s="1" t="s">
        <v>230</v>
      </c>
      <c r="D26" s="1" t="n">
        <v>1</v>
      </c>
      <c r="E26" s="1" t="n">
        <f aca="false">Assumptions!$B$75</f>
        <v>16</v>
      </c>
      <c r="F26" s="1" t="n">
        <f aca="false">D26*E26</f>
        <v>16</v>
      </c>
      <c r="G26" s="1" t="s">
        <v>231</v>
      </c>
    </row>
    <row r="27" customFormat="false" ht="15" hidden="false" customHeight="true" outlineLevel="0" collapsed="false">
      <c r="A27" s="1" t="s">
        <v>232</v>
      </c>
      <c r="B27" s="1" t="n">
        <f aca="false">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99</v>
      </c>
      <c r="C27" s="1" t="n">
        <f aca="false">B27*(1+Assumptions!$B$5)</f>
        <v>113.85</v>
      </c>
      <c r="D27" s="1" t="n">
        <f aca="false">CEILING(C27/Assumptions!$B$78,1)</f>
        <v>3</v>
      </c>
      <c r="E27" s="1" t="n">
        <f aca="false">Assumptions!$B$79</f>
        <v>4</v>
      </c>
      <c r="F27" s="1" t="n">
        <f aca="false">D27*E27</f>
        <v>12</v>
      </c>
      <c r="G27" s="1" t="s">
        <v>233</v>
      </c>
    </row>
    <row r="28" customFormat="false" ht="15" hidden="false" customHeight="true" outlineLevel="0" collapsed="false">
      <c r="A28" s="1" t="s">
        <v>234</v>
      </c>
      <c r="D28" s="1" t="n">
        <v>2</v>
      </c>
      <c r="E28" s="1" t="n">
        <f aca="false">Assumptions!$B$80</f>
        <v>9.99</v>
      </c>
      <c r="F28" s="1" t="n">
        <f aca="false">D28*E28</f>
        <v>19.98</v>
      </c>
      <c r="G28" s="1" t="s">
        <v>235</v>
      </c>
    </row>
    <row r="29" customFormat="false" ht="15" hidden="false" customHeight="true" outlineLevel="0" collapsed="false">
      <c r="A29" s="1" t="s">
        <v>236</v>
      </c>
      <c r="B29" s="1" t="n">
        <f aca="false">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5.61</v>
      </c>
      <c r="C29" s="1" t="n">
        <f aca="false">B29*(1+Assumptions!$B$5)</f>
        <v>6.4515</v>
      </c>
      <c r="D29" s="1" t="n">
        <f aca="false">CEILING(C29/Assumptions!$B$125,1)</f>
        <v>1</v>
      </c>
      <c r="E29" s="1" t="n">
        <f aca="false">Assumptions!$B$126</f>
        <v>14</v>
      </c>
      <c r="F29" s="1" t="n">
        <f aca="false">D29*E29</f>
        <v>14</v>
      </c>
      <c r="G29" s="1" t="s">
        <v>237</v>
      </c>
    </row>
    <row r="30" customFormat="false" ht="15" hidden="false" customHeight="true" outlineLevel="0" collapsed="false">
      <c r="A30" s="1" t="s">
        <v>238</v>
      </c>
      <c r="B30" s="1" t="n">
        <f aca="false">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1.98</v>
      </c>
      <c r="C30" s="1" t="n">
        <f aca="false">B30*(1+Assumptions!$B$5)</f>
        <v>2.277</v>
      </c>
      <c r="D30" s="1" t="n">
        <f aca="false">CEILING(C30/Assumptions!$B$143,1)</f>
        <v>1</v>
      </c>
      <c r="E30" s="1" t="n">
        <f aca="false">Assumptions!$B$144</f>
        <v>11</v>
      </c>
      <c r="F30" s="1" t="n">
        <f aca="false">D30*E30</f>
        <v>11</v>
      </c>
      <c r="G30" s="1" t="s">
        <v>239</v>
      </c>
    </row>
    <row r="31" customFormat="false" ht="15" hidden="false" customHeight="true" outlineLevel="0" collapsed="false">
      <c r="A31" s="1" t="s">
        <v>240</v>
      </c>
      <c r="B31" s="1" t="n">
        <f aca="false">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528</v>
      </c>
      <c r="C31" s="1" t="n">
        <f aca="false">B31*(1+Assumptions!$B$5)</f>
        <v>607.2</v>
      </c>
      <c r="D31" s="1" t="n">
        <f aca="false">CEILING(C31/128*Assumptions!$B$178,1)</f>
        <v>19</v>
      </c>
      <c r="E31" s="1" t="n">
        <v>0</v>
      </c>
      <c r="F31" s="1" t="n">
        <v>0</v>
      </c>
      <c r="G31" s="1" t="s">
        <v>241</v>
      </c>
    </row>
    <row r="32" customFormat="false" ht="15" hidden="false" customHeight="true" outlineLevel="0" collapsed="false">
      <c r="A32" s="1" t="s">
        <v>242</v>
      </c>
      <c r="B32" s="1" t="n">
        <f aca="false">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33</v>
      </c>
      <c r="C32" s="1" t="n">
        <f aca="false">B32*(1+Assumptions!$B$5)</f>
        <v>37.95</v>
      </c>
      <c r="D32" s="1" t="n">
        <f aca="false">CEILING(C32/Assumptions!$B$227,1)</f>
        <v>1</v>
      </c>
      <c r="E32" s="29" t="n">
        <f aca="false">Assumptions!$B$228</f>
        <v>4.29</v>
      </c>
      <c r="F32" s="1" t="n">
        <f aca="false">D32*E32</f>
        <v>4.29</v>
      </c>
      <c r="G32" s="1" t="s">
        <v>243</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5" zeroHeight="false" outlineLevelRow="0" outlineLevelCol="0"/>
  <cols>
    <col collapsed="false" customWidth="true" hidden="false" outlineLevel="0" max="1" min="1" style="1" width="12"/>
    <col collapsed="false" customWidth="true" hidden="false" outlineLevel="0" max="3" min="2" style="1" width="26"/>
    <col collapsed="false" customWidth="true" hidden="false" outlineLevel="0" max="4" min="4" style="1" width="30"/>
    <col collapsed="false" customWidth="true" hidden="false" outlineLevel="0" max="5" min="5" style="1" width="64"/>
    <col collapsed="false" customWidth="true" hidden="false" outlineLevel="0" max="6" min="6" style="1" width="26"/>
    <col collapsed="false" customWidth="true" hidden="false" outlineLevel="0" max="7" min="7" style="1" width="44"/>
  </cols>
  <sheetData>
    <row r="1" customFormat="false" ht="17.25" hidden="false" customHeight="true" outlineLevel="0" collapsed="false">
      <c r="A1" s="2" t="s">
        <v>244</v>
      </c>
      <c r="B1" s="3"/>
      <c r="C1" s="3"/>
      <c r="D1" s="3"/>
      <c r="E1" s="3"/>
      <c r="F1" s="3"/>
      <c r="G1" s="3"/>
    </row>
    <row r="3" customFormat="false" ht="51.75" hidden="false" customHeight="true" outlineLevel="0" collapsed="false">
      <c r="A3" s="4" t="s">
        <v>245</v>
      </c>
      <c r="B3" s="4"/>
      <c r="C3" s="4"/>
      <c r="D3" s="4"/>
      <c r="E3" s="4"/>
      <c r="F3" s="4"/>
      <c r="G3" s="4"/>
    </row>
    <row r="5" customFormat="false" ht="15" hidden="false" customHeight="true" outlineLevel="0" collapsed="false">
      <c r="A5" s="27" t="s">
        <v>140</v>
      </c>
      <c r="B5" s="27" t="s">
        <v>246</v>
      </c>
      <c r="C5" s="27" t="s">
        <v>247</v>
      </c>
      <c r="D5" s="27" t="s">
        <v>248</v>
      </c>
      <c r="E5" s="27" t="s">
        <v>249</v>
      </c>
      <c r="F5" s="27" t="s">
        <v>250</v>
      </c>
      <c r="G5" s="27" t="s">
        <v>251</v>
      </c>
    </row>
    <row r="6" customFormat="false" ht="150" hidden="false" customHeight="true" outlineLevel="0" collapsed="false">
      <c r="A6" s="23" t="str">
        <f aca="false">'Jug Recipes'!A4</f>
        <v>Sunday</v>
      </c>
      <c r="B6" s="23" t="str">
        <f aca="false">'Jug Recipes'!C4</f>
        <v>Cherry Bomb (Cherry Limeade)</v>
      </c>
      <c r="C6" s="6" t="s">
        <v>252</v>
      </c>
      <c r="D6" s="6" t="s">
        <v>253</v>
      </c>
      <c r="E6" s="6" t="s">
        <v>254</v>
      </c>
      <c r="F6" s="6" t="str">
        <f aca="false">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Sprite 82.5 oz
Cherry syrup 49.5 oz
Lime juice (bottled) 33 oz
Soda water 33 oz
</v>
      </c>
      <c r="G6" s="6" t="s">
        <v>255</v>
      </c>
    </row>
    <row r="7" customFormat="false" ht="150" hidden="false" customHeight="true" outlineLevel="0" collapsed="false">
      <c r="A7" s="23" t="str">
        <f aca="false">'Jug Recipes'!A5</f>
        <v>Monday</v>
      </c>
      <c r="B7" s="23" t="str">
        <f aca="false">'Jug Recipes'!C5</f>
        <v>Hard Reset (Watermelon-Mint Aqua Fresca)</v>
      </c>
      <c r="C7" s="6" t="s">
        <v>256</v>
      </c>
      <c r="D7" s="6" t="s">
        <v>257</v>
      </c>
      <c r="E7" s="6" t="s">
        <v>258</v>
      </c>
      <c r="F7" s="6" t="str">
        <f aca="false">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Watermelon (fresh, blended) 105.6 oz
Agave syrup 11.6 oz
Fresh mint (blended) 5 oz
</v>
      </c>
      <c r="G7" s="6" t="s">
        <v>259</v>
      </c>
    </row>
    <row r="8" customFormat="false" ht="150" hidden="false" customHeight="true" outlineLevel="0" collapsed="false">
      <c r="A8" s="23" t="str">
        <f aca="false">'Jug Recipes'!A6</f>
        <v>Tuesday</v>
      </c>
      <c r="B8" s="23" t="str">
        <f aca="false">'Jug Recipes'!C6</f>
        <v>Smoke Test (Lapsang Souchong Lemonade)</v>
      </c>
      <c r="C8" s="6" t="s">
        <v>260</v>
      </c>
      <c r="D8" s="6" t="s">
        <v>261</v>
      </c>
      <c r="E8" s="6" t="s">
        <v>262</v>
      </c>
      <c r="F8" s="6" t="str">
        <f aca="false">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Lapsang souchong 2 oz
Lemonade 99 oz
Lime juice (bottled) 16.5 oz
</v>
      </c>
      <c r="G8" s="6" t="s">
        <v>263</v>
      </c>
    </row>
    <row r="9" customFormat="false" ht="150" hidden="false" customHeight="true" outlineLevel="0" collapsed="false">
      <c r="A9" s="23" t="str">
        <f aca="false">'Jug Recipes'!A7</f>
        <v>Wednesday</v>
      </c>
      <c r="B9" s="23" t="str">
        <f aca="false">'Jug Recipes'!C7</f>
        <v>Red Flag (Agua de Jamaica)</v>
      </c>
      <c r="C9" s="6" t="s">
        <v>264</v>
      </c>
      <c r="D9" s="6" t="s">
        <v>265</v>
      </c>
      <c r="E9" s="6" t="s">
        <v>266</v>
      </c>
      <c r="F9" s="6" t="str">
        <f aca="false">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Dried hibiscus 5.6 oz
Agave syrup 33 oz
Lime juice (bottled) 33 oz
</v>
      </c>
      <c r="G9" s="6" t="s">
        <v>267</v>
      </c>
    </row>
    <row r="10" customFormat="false" ht="150" hidden="false" customHeight="true" outlineLevel="0" collapsed="false">
      <c r="A10" s="23" t="str">
        <f aca="false">'Jug Recipes'!A8</f>
        <v>Thursday</v>
      </c>
      <c r="B10" s="23" t="str">
        <f aca="false">'Jug Recipes'!C8</f>
        <v>Gradient Descent (Malibu Sunrise)</v>
      </c>
      <c r="C10" s="6" t="s">
        <v>268</v>
      </c>
      <c r="D10" s="6" t="s">
        <v>253</v>
      </c>
      <c r="E10" s="6" t="s">
        <v>269</v>
      </c>
      <c r="F10" s="6" t="str">
        <f aca="false">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Orange juice 99 oz
Pineapple juice 82.5 oz
Lime juice (bottled) 16.5 oz
Passion fruit purée 16.5 oz
</v>
      </c>
      <c r="G10" s="6" t="s">
        <v>270</v>
      </c>
    </row>
    <row r="11" customFormat="false" ht="150" hidden="false" customHeight="true" outlineLevel="0" collapsed="false">
      <c r="A11" s="23" t="str">
        <f aca="false">'Jug Recipes'!A9</f>
        <v>Friday</v>
      </c>
      <c r="B11" s="23" t="str">
        <f aca="false">'Jug Recipes'!C9</f>
        <v>Whore-chata</v>
      </c>
      <c r="C11" s="6" t="s">
        <v>271</v>
      </c>
      <c r="D11" s="6" t="s">
        <v>272</v>
      </c>
      <c r="E11" s="6" t="s">
        <v>273</v>
      </c>
      <c r="F11" s="6" t="str">
        <f aca="false">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Rice Dream Horchata (ready-to-drink) 165 oz
Coconut cream 16.5 oz
Vanilla syrup 8.3 oz
</v>
      </c>
      <c r="G11" s="6" t="s">
        <v>274</v>
      </c>
    </row>
    <row r="12" customFormat="false" ht="150" hidden="false" customHeight="true" outlineLevel="0" collapsed="false">
      <c r="A12" s="23" t="str">
        <f aca="false">'Jug Recipes'!A10</f>
        <v>Saturday</v>
      </c>
      <c r="B12" s="23" t="str">
        <f aca="false">'Jug Recipes'!C10</f>
        <v>Sleep Mode (Peach Green Iced Tea)</v>
      </c>
      <c r="C12" s="6" t="s">
        <v>275</v>
      </c>
      <c r="D12" s="6" t="s">
        <v>276</v>
      </c>
      <c r="E12" s="30" t="s">
        <v>277</v>
      </c>
      <c r="F12" s="6" t="str">
        <f aca="false">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Green tea (cold-steeped) 264 oz
Peach syrup 33 oz
Lemon juice (bottled) 16.5 oz
Agave syrup 8.3 oz
</v>
      </c>
      <c r="G12" s="6" t="s">
        <v>278</v>
      </c>
    </row>
    <row r="13" customFormat="false" ht="150" hidden="false" customHeight="true" outlineLevel="0" collapsed="false">
      <c r="A13" s="23" t="str">
        <f aca="false">'Jug Recipes'!A11</f>
        <v>Sunday (closing)</v>
      </c>
      <c r="B13" s="23" t="str">
        <f aca="false">'Jug Recipes'!C11</f>
        <v>Graceful Shutdown (Peach Green Iced Tea)</v>
      </c>
      <c r="C13" s="6" t="s">
        <v>279</v>
      </c>
      <c r="D13" s="6" t="s">
        <v>280</v>
      </c>
      <c r="E13" s="30" t="s">
        <v>281</v>
      </c>
      <c r="F13" s="6" t="str">
        <f aca="false">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Green tea (cold-steeped) 264 oz
Peach syrup 33 oz
Lemon juice (bottled) 16.5 oz
Agave syrup 8.3 oz
</v>
      </c>
      <c r="G13" s="6" t="s">
        <v>282</v>
      </c>
    </row>
    <row r="14" customFormat="false" ht="15" hidden="false" customHeight="true" outlineLevel="0" collapsed="false">
      <c r="A14" s="5"/>
    </row>
    <row r="15" customFormat="false" ht="15" hidden="false" customHeight="true" outlineLevel="0" collapsed="false">
      <c r="A15" s="5" t="s">
        <v>283</v>
      </c>
    </row>
    <row r="16" customFormat="false" ht="27.75" hidden="false" customHeight="true" outlineLevel="0" collapsed="false">
      <c r="A16" s="4" t="s">
        <v>284</v>
      </c>
      <c r="B16" s="4"/>
      <c r="C16" s="4"/>
      <c r="D16" s="4"/>
      <c r="E16" s="4"/>
      <c r="F16" s="4"/>
      <c r="G16" s="4"/>
    </row>
    <row r="17" customFormat="false" ht="27.75" hidden="false" customHeight="true" outlineLevel="0" collapsed="false">
      <c r="A17" s="4" t="s">
        <v>285</v>
      </c>
      <c r="B17" s="4"/>
      <c r="C17" s="4"/>
      <c r="D17" s="4"/>
      <c r="E17" s="4"/>
      <c r="F17" s="4"/>
      <c r="G17" s="4"/>
    </row>
    <row r="18" customFormat="false" ht="27.75" hidden="false" customHeight="true" outlineLevel="0" collapsed="false">
      <c r="A18" s="4" t="s">
        <v>286</v>
      </c>
      <c r="B18" s="4"/>
      <c r="C18" s="4"/>
      <c r="D18" s="4"/>
      <c r="E18" s="4"/>
      <c r="F18" s="4"/>
      <c r="G18" s="4"/>
    </row>
    <row r="19" customFormat="false" ht="27.75" hidden="false" customHeight="true" outlineLevel="0" collapsed="false">
      <c r="A19" s="4" t="s">
        <v>287</v>
      </c>
      <c r="B19" s="4"/>
      <c r="C19" s="4"/>
      <c r="D19" s="4"/>
      <c r="E19" s="4"/>
      <c r="F19" s="4"/>
      <c r="G19" s="4"/>
    </row>
    <row r="20" customFormat="false" ht="27.75" hidden="false" customHeight="true" outlineLevel="0" collapsed="false">
      <c r="A20" s="4" t="s">
        <v>288</v>
      </c>
      <c r="B20" s="4"/>
      <c r="C20" s="4"/>
      <c r="D20" s="4"/>
      <c r="E20" s="4"/>
      <c r="F20" s="4"/>
      <c r="G20" s="4"/>
    </row>
    <row r="21" customFormat="false" ht="27.75" hidden="false" customHeight="true" outlineLevel="0" collapsed="false">
      <c r="A21" s="4" t="s">
        <v>289</v>
      </c>
      <c r="B21" s="4"/>
      <c r="C21" s="4"/>
      <c r="D21" s="4"/>
      <c r="E21" s="4"/>
      <c r="F21" s="4"/>
      <c r="G21" s="4"/>
    </row>
    <row r="22" customFormat="false" ht="27.75" hidden="false" customHeight="true" outlineLevel="0" collapsed="false">
      <c r="A22" s="4" t="s">
        <v>290</v>
      </c>
      <c r="B22" s="4"/>
      <c r="C22" s="4"/>
      <c r="D22" s="4"/>
      <c r="E22" s="4"/>
      <c r="F22" s="4"/>
      <c r="G22" s="4"/>
    </row>
  </sheetData>
  <mergeCells count="8">
    <mergeCell ref="A3:G3"/>
    <mergeCell ref="A16:G16"/>
    <mergeCell ref="A17:G17"/>
    <mergeCell ref="A18:G18"/>
    <mergeCell ref="A19:G19"/>
    <mergeCell ref="A20:G20"/>
    <mergeCell ref="A21:G21"/>
    <mergeCell ref="A22:G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8" colorId="64" zoomScale="100" zoomScaleNormal="100" zoomScalePageLayoutView="100" workbookViewId="0">
      <selection pane="topLeft" activeCell="I26" activeCellId="0" sqref="I26"/>
    </sheetView>
  </sheetViews>
  <sheetFormatPr defaultColWidth="8.42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5"/>
    <col collapsed="false" customWidth="true" hidden="false" outlineLevel="0" max="4" min="4" style="1" width="24"/>
    <col collapsed="false" customWidth="true" hidden="false" outlineLevel="0" max="5" min="5" style="1" width="9"/>
    <col collapsed="false" customWidth="true" hidden="false" outlineLevel="0" max="6" min="6" style="1" width="12"/>
    <col collapsed="false" customWidth="true" hidden="false" outlineLevel="0" max="7" min="7" style="1" width="10"/>
    <col collapsed="false" customWidth="true" hidden="false" outlineLevel="0" max="8" min="8" style="1" width="12"/>
    <col collapsed="false" customWidth="true" hidden="false" outlineLevel="0" max="9" min="9" style="1" width="52"/>
  </cols>
  <sheetData>
    <row r="1" customFormat="false" ht="17.25" hidden="false" customHeight="true" outlineLevel="0" collapsed="false">
      <c r="A1" s="31" t="s">
        <v>291</v>
      </c>
      <c r="B1" s="31"/>
      <c r="C1" s="31"/>
      <c r="D1" s="31"/>
      <c r="E1" s="31"/>
      <c r="F1" s="31"/>
      <c r="G1" s="31"/>
      <c r="H1" s="31"/>
      <c r="I1" s="31"/>
    </row>
    <row r="3" customFormat="false" ht="31.5" hidden="false" customHeight="true" outlineLevel="0" collapsed="false">
      <c r="A3" s="32" t="s">
        <v>292</v>
      </c>
      <c r="B3" s="32"/>
      <c r="C3" s="32"/>
      <c r="D3" s="32"/>
      <c r="E3" s="32"/>
      <c r="F3" s="32"/>
      <c r="G3" s="32"/>
      <c r="H3" s="32"/>
      <c r="I3" s="32"/>
    </row>
    <row r="5" customFormat="false" ht="27.75" hidden="false" customHeight="true" outlineLevel="0" collapsed="false">
      <c r="A5" s="33" t="s">
        <v>246</v>
      </c>
      <c r="B5" s="33" t="s">
        <v>293</v>
      </c>
      <c r="C5" s="33" t="s">
        <v>294</v>
      </c>
      <c r="D5" s="33" t="s">
        <v>295</v>
      </c>
      <c r="E5" s="33" t="s">
        <v>296</v>
      </c>
      <c r="F5" s="33" t="s">
        <v>297</v>
      </c>
      <c r="G5" s="33" t="s">
        <v>214</v>
      </c>
      <c r="H5" s="33" t="s">
        <v>215</v>
      </c>
      <c r="I5" s="33" t="s">
        <v>216</v>
      </c>
    </row>
    <row r="6" customFormat="false" ht="33.75" hidden="false" customHeight="true" outlineLevel="0" collapsed="false">
      <c r="A6" s="34" t="s">
        <v>298</v>
      </c>
      <c r="B6" s="35" t="n">
        <f aca="false">Assumptions!$B$81*Assumptions!$B$82</f>
        <v>24</v>
      </c>
      <c r="C6" s="36" t="n">
        <f aca="false">B6*128/10</f>
        <v>307.2</v>
      </c>
      <c r="D6" s="34" t="s">
        <v>299</v>
      </c>
      <c r="E6" s="36" t="n">
        <f aca="false">CEILING(B6*Assumptions!$B$83/Assumptions!$B$84,1)</f>
        <v>12</v>
      </c>
      <c r="F6" s="37" t="s">
        <v>300</v>
      </c>
      <c r="G6" s="38" t="n">
        <f aca="false">Assumptions!$B$85</f>
        <v>12</v>
      </c>
      <c r="H6" s="38" t="n">
        <f aca="false">E6*G6</f>
        <v>144</v>
      </c>
      <c r="I6" s="39" t="s">
        <v>301</v>
      </c>
    </row>
    <row r="7" customFormat="false" ht="33.75" hidden="false" customHeight="true" outlineLevel="0" collapsed="false">
      <c r="A7" s="34" t="s">
        <v>302</v>
      </c>
      <c r="B7" s="35" t="n">
        <f aca="false">Assumptions!$B$81*Assumptions!$B$86</f>
        <v>40</v>
      </c>
      <c r="C7" s="36" t="n">
        <f aca="false">B7*128/10</f>
        <v>512</v>
      </c>
      <c r="D7" s="34" t="s">
        <v>303</v>
      </c>
      <c r="E7" s="36" t="n">
        <f aca="false">CEILING(B7/Assumptions!$B$87,1)</f>
        <v>5</v>
      </c>
      <c r="F7" s="37" t="s">
        <v>304</v>
      </c>
      <c r="G7" s="38" t="n">
        <f aca="false">Assumptions!$B$88</f>
        <v>14.99</v>
      </c>
      <c r="H7" s="38" t="n">
        <f aca="false">E7*G7</f>
        <v>74.95</v>
      </c>
      <c r="I7" s="39" t="s">
        <v>305</v>
      </c>
    </row>
    <row r="8" customFormat="false" ht="33.75" hidden="false" customHeight="true" outlineLevel="0" collapsed="false">
      <c r="A8" s="34" t="s">
        <v>306</v>
      </c>
      <c r="B8" s="35" t="n">
        <f aca="false">Assumptions!$B$135</f>
        <v>5</v>
      </c>
      <c r="C8" s="36" t="n">
        <f aca="false">B8*128/10</f>
        <v>64</v>
      </c>
      <c r="D8" s="34" t="s">
        <v>307</v>
      </c>
      <c r="E8" s="36" t="n">
        <f aca="false">CEILING(B8/Assumptions!$B$136,1)</f>
        <v>4</v>
      </c>
      <c r="F8" s="37" t="s">
        <v>308</v>
      </c>
      <c r="G8" s="38" t="n">
        <f aca="false">Assumptions!$B$137</f>
        <v>6.5</v>
      </c>
      <c r="H8" s="38" t="n">
        <f aca="false">E8*G8</f>
        <v>26</v>
      </c>
      <c r="I8" s="40" t="s">
        <v>309</v>
      </c>
    </row>
    <row r="9" customFormat="false" ht="33.75" hidden="false" customHeight="true" outlineLevel="0" collapsed="false">
      <c r="A9" s="34" t="s">
        <v>310</v>
      </c>
      <c r="B9" s="35" t="n">
        <f aca="false">Assumptions!$B$138</f>
        <v>5</v>
      </c>
      <c r="C9" s="36" t="n">
        <f aca="false">B9*128/10</f>
        <v>64</v>
      </c>
      <c r="D9" s="34" t="s">
        <v>311</v>
      </c>
      <c r="E9" s="36" t="n">
        <f aca="false">CEILING(B9*Assumptions!$B$139/Assumptions!$B$140,1)</f>
        <v>1</v>
      </c>
      <c r="F9" s="37" t="s">
        <v>312</v>
      </c>
      <c r="G9" s="38" t="n">
        <f aca="false">Assumptions!$B$141</f>
        <v>7</v>
      </c>
      <c r="H9" s="38" t="n">
        <f aca="false">E9*G9</f>
        <v>7</v>
      </c>
      <c r="I9" s="40" t="s">
        <v>313</v>
      </c>
    </row>
    <row r="10" customFormat="false" ht="50.25" hidden="false" customHeight="true" outlineLevel="0" collapsed="false">
      <c r="A10" s="34" t="s">
        <v>314</v>
      </c>
      <c r="B10" s="35" t="n">
        <f aca="false">Assumptions!$B$177</f>
        <v>2</v>
      </c>
      <c r="C10" s="36" t="n">
        <f aca="false">B10*128/10</f>
        <v>25.6</v>
      </c>
      <c r="D10" s="34" t="s">
        <v>311</v>
      </c>
      <c r="E10" s="36" t="n">
        <f aca="false">CEILING(B10*Assumptions!$B$178/Assumptions!$B$179,1)</f>
        <v>1</v>
      </c>
      <c r="F10" s="37" t="s">
        <v>312</v>
      </c>
      <c r="G10" s="38" t="n">
        <f aca="false">Assumptions!$B$180</f>
        <v>12</v>
      </c>
      <c r="H10" s="38" t="n">
        <f aca="false">E10*G10</f>
        <v>12</v>
      </c>
      <c r="I10" s="40" t="s">
        <v>315</v>
      </c>
    </row>
    <row r="11" customFormat="false" ht="15" hidden="false" customHeight="true" outlineLevel="0" collapsed="false">
      <c r="A11" s="41" t="s">
        <v>316</v>
      </c>
      <c r="B11" s="41" t="n">
        <f aca="false">Assumptions!$B$194*Assumptions!$B$195/128</f>
        <v>1</v>
      </c>
      <c r="C11" s="42" t="n">
        <f aca="false">B11*128/10</f>
        <v>12.8</v>
      </c>
      <c r="D11" s="41" t="s">
        <v>317</v>
      </c>
      <c r="E11" s="43" t="n">
        <f aca="false">Assumptions!$B$194</f>
        <v>4</v>
      </c>
      <c r="F11" s="41" t="s">
        <v>318</v>
      </c>
      <c r="G11" s="44" t="n">
        <f aca="false">Assumptions!$B$196</f>
        <v>6.5</v>
      </c>
      <c r="H11" s="45" t="n">
        <f aca="false">E11*G11</f>
        <v>26</v>
      </c>
      <c r="I11" s="46" t="s">
        <v>319</v>
      </c>
    </row>
    <row r="12" customFormat="false" ht="15" hidden="false" customHeight="true" outlineLevel="0" collapsed="false">
      <c r="A12" s="23" t="s">
        <v>320</v>
      </c>
      <c r="C12" s="1" t="n">
        <f aca="false">SUM(C6:C11)</f>
        <v>985.6</v>
      </c>
      <c r="H12" s="1" t="n">
        <f aca="false">SUM(H6:H11)</f>
        <v>289.95</v>
      </c>
    </row>
    <row r="13" customFormat="false" ht="30" hidden="false" customHeight="true" outlineLevel="0" collapsed="false">
      <c r="A13" s="4" t="s">
        <v>321</v>
      </c>
      <c r="B13" s="4"/>
      <c r="C13" s="4"/>
      <c r="D13" s="4"/>
      <c r="E13" s="4"/>
      <c r="F13" s="4"/>
      <c r="G13" s="4"/>
      <c r="H13" s="4"/>
      <c r="I13" s="4"/>
    </row>
    <row r="15" customFormat="false" ht="15" hidden="false" customHeight="true" outlineLevel="0" collapsed="false">
      <c r="A15" s="26" t="s">
        <v>322</v>
      </c>
      <c r="B15" s="26"/>
      <c r="C15" s="26"/>
      <c r="D15" s="26"/>
      <c r="E15" s="26"/>
      <c r="F15" s="26"/>
      <c r="G15" s="26"/>
      <c r="H15" s="26"/>
      <c r="I15" s="26"/>
    </row>
    <row r="16" customFormat="false" ht="44.25" hidden="false" customHeight="true" outlineLevel="0" collapsed="false">
      <c r="A16" s="33" t="s">
        <v>246</v>
      </c>
      <c r="B16" s="33" t="s">
        <v>323</v>
      </c>
      <c r="C16" s="33" t="s">
        <v>324</v>
      </c>
      <c r="D16" s="33" t="s">
        <v>295</v>
      </c>
      <c r="E16" s="33" t="s">
        <v>296</v>
      </c>
      <c r="F16" s="33" t="s">
        <v>297</v>
      </c>
      <c r="G16" s="33" t="s">
        <v>214</v>
      </c>
      <c r="H16" s="33" t="s">
        <v>215</v>
      </c>
      <c r="I16" s="33" t="s">
        <v>216</v>
      </c>
    </row>
    <row r="17" customFormat="false" ht="25.5" hidden="false" customHeight="true" outlineLevel="0" collapsed="false">
      <c r="A17" s="34" t="s">
        <v>325</v>
      </c>
      <c r="B17" s="35" t="n">
        <f aca="false">Assumptions!$B$183</f>
        <v>48</v>
      </c>
      <c r="C17" s="36" t="n">
        <f aca="false">B17</f>
        <v>48</v>
      </c>
      <c r="D17" s="34" t="s">
        <v>326</v>
      </c>
      <c r="E17" s="36" t="n">
        <f aca="false">CEILING(B17/Assumptions!$B$184,1)</f>
        <v>3</v>
      </c>
      <c r="F17" s="37" t="s">
        <v>327</v>
      </c>
      <c r="G17" s="38" t="n">
        <f aca="false">Assumptions!$B$185</f>
        <v>24</v>
      </c>
      <c r="H17" s="38" t="n">
        <f aca="false">E17*G17</f>
        <v>72</v>
      </c>
      <c r="I17" s="40" t="s">
        <v>328</v>
      </c>
    </row>
    <row r="18" customFormat="false" ht="25.5" hidden="false" customHeight="true" outlineLevel="0" collapsed="false">
      <c r="A18" s="34" t="s">
        <v>329</v>
      </c>
      <c r="B18" s="35" t="n">
        <f aca="false">Assumptions!$B$186</f>
        <v>120</v>
      </c>
      <c r="C18" s="36" t="n">
        <f aca="false">B18</f>
        <v>120</v>
      </c>
      <c r="D18" s="34" t="s">
        <v>326</v>
      </c>
      <c r="E18" s="36" t="n">
        <f aca="false">CEILING(B18/Assumptions!$B$187,1)</f>
        <v>5</v>
      </c>
      <c r="F18" s="37" t="s">
        <v>327</v>
      </c>
      <c r="G18" s="38" t="n">
        <f aca="false">Assumptions!$B$188</f>
        <v>30.49</v>
      </c>
      <c r="H18" s="38" t="n">
        <f aca="false">E18*G18</f>
        <v>152.45</v>
      </c>
      <c r="I18" s="40" t="s">
        <v>330</v>
      </c>
    </row>
    <row r="19" customFormat="false" ht="25.5" hidden="false" customHeight="true" outlineLevel="0" collapsed="false">
      <c r="A19" s="34" t="s">
        <v>331</v>
      </c>
      <c r="B19" s="35" t="n">
        <f aca="false">Assumptions!$B$189</f>
        <v>96</v>
      </c>
      <c r="C19" s="36" t="n">
        <f aca="false">B19</f>
        <v>96</v>
      </c>
      <c r="D19" s="34" t="s">
        <v>332</v>
      </c>
      <c r="E19" s="36" t="n">
        <f aca="false">CEILING(B19/Assumptions!$B$190,1)</f>
        <v>4</v>
      </c>
      <c r="F19" s="37" t="s">
        <v>327</v>
      </c>
      <c r="G19" s="38" t="n">
        <f aca="false">Assumptions!$B$191</f>
        <v>21.49</v>
      </c>
      <c r="H19" s="38" t="n">
        <f aca="false">E19*G19</f>
        <v>85.96</v>
      </c>
      <c r="I19" s="40" t="s">
        <v>333</v>
      </c>
    </row>
    <row r="20" customFormat="false" ht="25.5" hidden="false" customHeight="true" outlineLevel="0" collapsed="false">
      <c r="A20" s="34" t="s">
        <v>334</v>
      </c>
      <c r="B20" s="35" t="n">
        <f aca="false">Assumptions!$B$199</f>
        <v>24</v>
      </c>
      <c r="C20" s="36" t="n">
        <f aca="false">B20</f>
        <v>24</v>
      </c>
      <c r="D20" s="34" t="s">
        <v>332</v>
      </c>
      <c r="E20" s="36" t="n">
        <f aca="false">CEILING(B20/Assumptions!$B$200,1)</f>
        <v>1</v>
      </c>
      <c r="F20" s="37" t="s">
        <v>327</v>
      </c>
      <c r="G20" s="38" t="n">
        <f aca="false">Assumptions!$B$201</f>
        <v>40.8</v>
      </c>
      <c r="H20" s="38" t="n">
        <f aca="false">E20*G20</f>
        <v>40.8</v>
      </c>
      <c r="I20" s="40" t="s">
        <v>335</v>
      </c>
    </row>
    <row r="21" customFormat="false" ht="15" hidden="false" customHeight="true" outlineLevel="0" collapsed="false">
      <c r="A21" s="34" t="s">
        <v>336</v>
      </c>
      <c r="B21" s="35" t="n">
        <f aca="false">Assumptions!$B$258</f>
        <v>24</v>
      </c>
      <c r="C21" s="36" t="n">
        <f aca="false">B21</f>
        <v>24</v>
      </c>
      <c r="D21" s="34" t="s">
        <v>326</v>
      </c>
      <c r="E21" s="36" t="n">
        <f aca="false">CEILING(B21/Assumptions!$B$259,1)</f>
        <v>2</v>
      </c>
      <c r="F21" s="37" t="s">
        <v>327</v>
      </c>
      <c r="G21" s="38" t="n">
        <f aca="false">Assumptions!$B$260</f>
        <v>5.48571428571429</v>
      </c>
      <c r="H21" s="38" t="n">
        <f aca="false">E21*G21</f>
        <v>10.9714285714286</v>
      </c>
    </row>
    <row r="22" customFormat="false" ht="15" hidden="false" customHeight="true" outlineLevel="0" collapsed="false">
      <c r="A22" s="41" t="s">
        <v>337</v>
      </c>
      <c r="B22" s="42" t="n">
        <f aca="false">SUM(B17:B21)</f>
        <v>312</v>
      </c>
      <c r="C22" s="42" t="n">
        <f aca="false">SUM(C17:C21)</f>
        <v>312</v>
      </c>
      <c r="H22" s="45" t="n">
        <f aca="false">SUM(H17:H21)</f>
        <v>362.181428571429</v>
      </c>
    </row>
    <row r="23" customFormat="false" ht="15" hidden="false" customHeight="true" outlineLevel="0" collapsed="false">
      <c r="A23" s="5"/>
    </row>
    <row r="24" customFormat="false" ht="43.5" hidden="false" customHeight="true" outlineLevel="0" collapsed="false">
      <c r="A24" s="5" t="s">
        <v>338</v>
      </c>
    </row>
    <row r="25" customFormat="false" ht="30" hidden="false" customHeight="true" outlineLevel="0" collapsed="false">
      <c r="A25" s="4" t="s">
        <v>339</v>
      </c>
      <c r="B25" s="4"/>
      <c r="C25" s="4"/>
      <c r="D25" s="4"/>
      <c r="E25" s="4"/>
      <c r="F25" s="4"/>
      <c r="G25" s="4"/>
      <c r="H25" s="4"/>
      <c r="I25" s="4"/>
    </row>
    <row r="26" customFormat="false" ht="43.5" hidden="false" customHeight="true" outlineLevel="0" collapsed="false">
      <c r="A26" s="33" t="s">
        <v>340</v>
      </c>
      <c r="B26" s="33"/>
      <c r="C26" s="33"/>
      <c r="D26" s="33" t="s">
        <v>295</v>
      </c>
      <c r="E26" s="33" t="s">
        <v>296</v>
      </c>
      <c r="F26" s="33" t="s">
        <v>297</v>
      </c>
      <c r="G26" s="33" t="s">
        <v>214</v>
      </c>
      <c r="H26" s="33" t="s">
        <v>215</v>
      </c>
      <c r="I26" s="33" t="s">
        <v>216</v>
      </c>
    </row>
    <row r="27" customFormat="false" ht="15" hidden="false" customHeight="true" outlineLevel="0" collapsed="false">
      <c r="A27" s="34" t="s">
        <v>341</v>
      </c>
      <c r="B27" s="35"/>
      <c r="C27" s="36"/>
      <c r="D27" s="34" t="s">
        <v>342</v>
      </c>
      <c r="E27" s="36" t="n">
        <f aca="false">Assumptions!$B$204</f>
        <v>4</v>
      </c>
      <c r="F27" s="37" t="s">
        <v>343</v>
      </c>
      <c r="G27" s="38" t="n">
        <f aca="false">Assumptions!$B$205</f>
        <v>3.79</v>
      </c>
      <c r="H27" s="38" t="n">
        <f aca="false">E27*G27</f>
        <v>15.16</v>
      </c>
      <c r="I27" s="40" t="s">
        <v>344</v>
      </c>
    </row>
    <row r="28" customFormat="false" ht="15" hidden="false" customHeight="true" outlineLevel="0" collapsed="false">
      <c r="A28" s="23"/>
      <c r="B28" s="23"/>
      <c r="C28" s="6"/>
    </row>
    <row r="29" customFormat="false" ht="30" hidden="false" customHeight="true" outlineLevel="0" collapsed="false">
      <c r="A29" s="5" t="s">
        <v>345</v>
      </c>
    </row>
    <row r="30" customFormat="false" ht="15" hidden="false" customHeight="true" outlineLevel="0" collapsed="false">
      <c r="A30" s="4" t="s">
        <v>346</v>
      </c>
      <c r="B30" s="4"/>
      <c r="C30" s="4"/>
      <c r="D30" s="4"/>
      <c r="E30" s="4"/>
      <c r="F30" s="4"/>
      <c r="G30" s="4"/>
      <c r="H30" s="4"/>
      <c r="I30" s="4"/>
    </row>
    <row r="31" customFormat="false" ht="43.5" hidden="false" customHeight="true" outlineLevel="0" collapsed="false">
      <c r="A31" s="47" t="s">
        <v>347</v>
      </c>
      <c r="B31" s="47" t="s">
        <v>348</v>
      </c>
      <c r="C31" s="47" t="s">
        <v>349</v>
      </c>
    </row>
    <row r="32" customFormat="false" ht="43.5" hidden="false" customHeight="true" outlineLevel="0" collapsed="false">
      <c r="A32" s="23" t="s">
        <v>350</v>
      </c>
      <c r="B32" s="23" t="s">
        <v>351</v>
      </c>
      <c r="C32" s="4" t="s">
        <v>352</v>
      </c>
      <c r="D32" s="4"/>
      <c r="E32" s="4"/>
      <c r="F32" s="4"/>
      <c r="G32" s="4"/>
      <c r="H32" s="4"/>
      <c r="I32" s="4"/>
    </row>
    <row r="33" customFormat="false" ht="15" hidden="false" customHeight="true" outlineLevel="0" collapsed="false">
      <c r="A33" s="23" t="s">
        <v>353</v>
      </c>
      <c r="B33" s="23" t="s">
        <v>354</v>
      </c>
      <c r="C33" s="4" t="s">
        <v>355</v>
      </c>
      <c r="D33" s="4"/>
      <c r="E33" s="4"/>
      <c r="F33" s="4"/>
      <c r="G33" s="4"/>
      <c r="H33" s="4"/>
      <c r="I33" s="4"/>
    </row>
    <row r="34" customFormat="false" ht="31.5" hidden="false" customHeight="true" outlineLevel="0" collapsed="false">
      <c r="A34" s="23" t="s">
        <v>81</v>
      </c>
      <c r="B34" s="23" t="s">
        <v>356</v>
      </c>
      <c r="C34" s="4" t="s">
        <v>357</v>
      </c>
      <c r="D34" s="4"/>
      <c r="E34" s="4"/>
      <c r="F34" s="4"/>
      <c r="G34" s="4"/>
      <c r="H34" s="4"/>
      <c r="I34" s="4"/>
    </row>
    <row r="35" customFormat="false" ht="15" hidden="false" customHeight="true" outlineLevel="0" collapsed="false">
      <c r="A35" s="23" t="s">
        <v>37</v>
      </c>
      <c r="B35" s="23" t="s">
        <v>358</v>
      </c>
      <c r="C35" s="4" t="s">
        <v>359</v>
      </c>
      <c r="D35" s="4"/>
      <c r="E35" s="4"/>
      <c r="F35" s="4"/>
      <c r="G35" s="4"/>
      <c r="H35" s="4"/>
      <c r="I35" s="4"/>
    </row>
  </sheetData>
  <mergeCells count="10">
    <mergeCell ref="A1:I1"/>
    <mergeCell ref="A3:I3"/>
    <mergeCell ref="A13:I13"/>
    <mergeCell ref="A15:I15"/>
    <mergeCell ref="A25:I25"/>
    <mergeCell ref="A30:I30"/>
    <mergeCell ref="C32:I32"/>
    <mergeCell ref="C33:I33"/>
    <mergeCell ref="C34:I34"/>
    <mergeCell ref="C35:I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07" activeCellId="0" sqref="C207"/>
    </sheetView>
  </sheetViews>
  <sheetFormatPr defaultColWidth="14.42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40"/>
    <col collapsed="false" customWidth="true" hidden="false" outlineLevel="0" max="4" min="4" style="1" width="6"/>
    <col collapsed="false" customWidth="true" hidden="false" outlineLevel="0" max="26" min="5" style="1" width="8.71"/>
  </cols>
  <sheetData>
    <row r="1" customFormat="false" ht="25.5" hidden="false" customHeight="true" outlineLevel="0" collapsed="false">
      <c r="A1" s="8" t="s">
        <v>360</v>
      </c>
      <c r="B1" s="8"/>
      <c r="C1" s="8"/>
      <c r="D1" s="8"/>
    </row>
    <row r="2" customFormat="false" ht="25.5" hidden="false" customHeight="true" outlineLevel="0" collapsed="false">
      <c r="A2" s="48" t="s">
        <v>361</v>
      </c>
      <c r="B2" s="48"/>
      <c r="C2" s="48"/>
      <c r="D2" s="48"/>
    </row>
    <row r="3" customFormat="false" ht="15" hidden="false" customHeight="true" outlineLevel="0" collapsed="false">
      <c r="A3" s="49" t="s">
        <v>362</v>
      </c>
      <c r="B3" s="49"/>
      <c r="C3" s="49"/>
      <c r="D3" s="49"/>
    </row>
    <row r="4" customFormat="false" ht="15" hidden="false" customHeight="true" outlineLevel="0" collapsed="false">
      <c r="A4" s="50" t="s">
        <v>363</v>
      </c>
      <c r="B4" s="50" t="s">
        <v>364</v>
      </c>
      <c r="C4" s="50" t="s">
        <v>216</v>
      </c>
      <c r="D4" s="50"/>
    </row>
    <row r="5" customFormat="false" ht="15" hidden="false" customHeight="true" outlineLevel="0" collapsed="false">
      <c r="A5" s="10" t="s">
        <v>365</v>
      </c>
      <c r="B5" s="51" t="n">
        <v>0.15</v>
      </c>
      <c r="C5" s="14" t="s">
        <v>366</v>
      </c>
      <c r="D5" s="10"/>
    </row>
    <row r="6" customFormat="false" ht="15" hidden="false" customHeight="true" outlineLevel="0" collapsed="false">
      <c r="A6" s="10" t="s">
        <v>367</v>
      </c>
      <c r="B6" s="52" t="n">
        <v>35</v>
      </c>
      <c r="C6" s="14" t="s">
        <v>368</v>
      </c>
      <c r="D6" s="10"/>
    </row>
    <row r="7" customFormat="false" ht="15" hidden="false" customHeight="true" outlineLevel="0" collapsed="false">
      <c r="A7" s="10" t="s">
        <v>369</v>
      </c>
      <c r="B7" s="51" t="n">
        <v>12</v>
      </c>
      <c r="C7" s="14" t="s">
        <v>370</v>
      </c>
      <c r="D7" s="10"/>
    </row>
    <row r="8" customFormat="false" ht="15" hidden="false" customHeight="true" outlineLevel="0" collapsed="false">
      <c r="A8" s="10" t="s">
        <v>371</v>
      </c>
      <c r="B8" s="51" t="n">
        <v>25.4</v>
      </c>
      <c r="C8" s="14" t="s">
        <v>372</v>
      </c>
      <c r="D8" s="10"/>
    </row>
    <row r="9" customFormat="false" ht="15" hidden="false" customHeight="true" outlineLevel="0" collapsed="false">
      <c r="A9" s="10" t="s">
        <v>373</v>
      </c>
      <c r="B9" s="52" t="n">
        <v>16.9</v>
      </c>
      <c r="C9" s="14" t="s">
        <v>374</v>
      </c>
      <c r="D9" s="10"/>
    </row>
    <row r="10" customFormat="false" ht="15" hidden="false" customHeight="true" outlineLevel="0" collapsed="false">
      <c r="A10" s="10" t="s">
        <v>375</v>
      </c>
      <c r="B10" s="51" t="n">
        <v>32</v>
      </c>
      <c r="C10" s="14" t="s">
        <v>376</v>
      </c>
      <c r="D10" s="10"/>
    </row>
    <row r="11" customFormat="false" ht="15" hidden="false" customHeight="true" outlineLevel="0" collapsed="false">
      <c r="A11" s="10" t="s">
        <v>377</v>
      </c>
      <c r="B11" s="51" t="n">
        <v>5</v>
      </c>
      <c r="C11" s="14" t="s">
        <v>378</v>
      </c>
      <c r="D11" s="10"/>
    </row>
    <row r="12" customFormat="false" ht="15" hidden="false" customHeight="true" outlineLevel="0" collapsed="false">
      <c r="A12" s="10" t="s">
        <v>379</v>
      </c>
      <c r="B12" s="51" t="n">
        <f aca="false">FLOOR((B11*128-B121)/B120,1)</f>
        <v>80</v>
      </c>
      <c r="C12" s="14" t="s">
        <v>380</v>
      </c>
      <c r="D12" s="10"/>
    </row>
    <row r="13" customFormat="false" ht="15" hidden="false" customHeight="true" outlineLevel="0" collapsed="false">
      <c r="A13" s="10" t="s">
        <v>381</v>
      </c>
      <c r="B13" s="51" t="n">
        <v>67.6</v>
      </c>
      <c r="C13" s="14" t="s">
        <v>382</v>
      </c>
      <c r="D13" s="10"/>
    </row>
    <row r="15" customFormat="false" ht="15" hidden="false" customHeight="true" outlineLevel="0" collapsed="false">
      <c r="A15" s="49" t="s">
        <v>383</v>
      </c>
      <c r="B15" s="49"/>
      <c r="C15" s="49"/>
      <c r="D15" s="49"/>
    </row>
    <row r="16" customFormat="false" ht="15" hidden="false" customHeight="true" outlineLevel="0" collapsed="false">
      <c r="A16" s="10" t="s">
        <v>384</v>
      </c>
      <c r="B16" s="53" t="n">
        <v>16</v>
      </c>
      <c r="C16" s="10"/>
    </row>
    <row r="17" customFormat="false" ht="15" hidden="false" customHeight="true" outlineLevel="0" collapsed="false">
      <c r="A17" s="10" t="s">
        <v>385</v>
      </c>
      <c r="B17" s="54" t="n">
        <v>4.5</v>
      </c>
      <c r="C17" s="10" t="s">
        <v>386</v>
      </c>
    </row>
    <row r="18" customFormat="false" ht="15" hidden="false" customHeight="true" outlineLevel="0" collapsed="false">
      <c r="A18" s="10" t="s">
        <v>387</v>
      </c>
      <c r="B18" s="54" t="n">
        <v>5</v>
      </c>
      <c r="C18" s="10" t="s">
        <v>388</v>
      </c>
    </row>
    <row r="19" customFormat="false" ht="15" hidden="false" customHeight="true" outlineLevel="0" collapsed="false">
      <c r="A19" s="10" t="s">
        <v>389</v>
      </c>
      <c r="B19" s="53" t="n">
        <v>8</v>
      </c>
      <c r="C19" s="10"/>
    </row>
    <row r="20" customFormat="false" ht="15" hidden="false" customHeight="true" outlineLevel="0" collapsed="false">
      <c r="A20" s="10" t="s">
        <v>390</v>
      </c>
      <c r="B20" s="53" t="n">
        <v>3.98</v>
      </c>
      <c r="C20" s="10"/>
    </row>
    <row r="21" customFormat="false" ht="15.75" hidden="false" customHeight="true" outlineLevel="0" collapsed="false">
      <c r="A21" s="10" t="s">
        <v>391</v>
      </c>
      <c r="B21" s="54" t="n">
        <v>3.5</v>
      </c>
      <c r="C21" s="10"/>
    </row>
    <row r="22" customFormat="false" ht="15.75" hidden="false" customHeight="true" outlineLevel="0" collapsed="false">
      <c r="A22" s="10" t="s">
        <v>392</v>
      </c>
      <c r="B22" s="53" t="n">
        <v>13</v>
      </c>
      <c r="C22" s="10"/>
    </row>
    <row r="23" customFormat="false" ht="15.75" hidden="false" customHeight="true" outlineLevel="0" collapsed="false">
      <c r="A23" s="10" t="s">
        <v>393</v>
      </c>
      <c r="B23" s="54" t="n">
        <v>2.5</v>
      </c>
      <c r="C23" s="10"/>
    </row>
    <row r="24" customFormat="false" ht="15.75" hidden="false" customHeight="true" outlineLevel="0" collapsed="false">
      <c r="A24" s="10" t="s">
        <v>394</v>
      </c>
      <c r="B24" s="54" t="n">
        <v>160</v>
      </c>
      <c r="C24" s="10"/>
    </row>
    <row r="25" customFormat="false" ht="15.75" hidden="false" customHeight="true" outlineLevel="0" collapsed="false">
      <c r="A25" s="10" t="s">
        <v>395</v>
      </c>
      <c r="B25" s="54" t="n">
        <v>130</v>
      </c>
      <c r="C25" s="10"/>
    </row>
    <row r="26" customFormat="false" ht="15.75" hidden="false" customHeight="true" outlineLevel="0" collapsed="false">
      <c r="A26" s="10" t="s">
        <v>396</v>
      </c>
      <c r="B26" s="54" t="n">
        <v>180</v>
      </c>
      <c r="C26" s="10"/>
    </row>
    <row r="27" customFormat="false" ht="15.75" hidden="false" customHeight="true" outlineLevel="0" collapsed="false">
      <c r="A27" s="10" t="s">
        <v>397</v>
      </c>
      <c r="B27" s="54" t="n">
        <v>130</v>
      </c>
      <c r="C27" s="10"/>
    </row>
    <row r="28" customFormat="false" ht="15.75" hidden="false" customHeight="true" outlineLevel="0" collapsed="false">
      <c r="A28" s="10" t="s">
        <v>398</v>
      </c>
      <c r="B28" s="54" t="n">
        <v>25</v>
      </c>
      <c r="C28" s="10"/>
    </row>
    <row r="29" customFormat="false" ht="15.75" hidden="false" customHeight="true" outlineLevel="0" collapsed="false">
      <c r="A29" s="55" t="s">
        <v>399</v>
      </c>
      <c r="B29" s="54" t="n">
        <v>0.35</v>
      </c>
      <c r="C29" s="10" t="s">
        <v>400</v>
      </c>
    </row>
    <row r="30" customFormat="false" ht="15.75" hidden="false" customHeight="true" outlineLevel="0" collapsed="false"/>
    <row r="31" customFormat="false" ht="15.75" hidden="false" customHeight="true" outlineLevel="0" collapsed="false">
      <c r="A31" s="49" t="s">
        <v>401</v>
      </c>
      <c r="B31" s="49"/>
      <c r="C31" s="49"/>
      <c r="D31" s="49"/>
    </row>
    <row r="32" customFormat="false" ht="15.75" hidden="false" customHeight="true" outlineLevel="0" collapsed="false">
      <c r="A32" s="10" t="s">
        <v>402</v>
      </c>
      <c r="B32" s="54" t="n">
        <v>50</v>
      </c>
      <c r="C32" s="10" t="s">
        <v>403</v>
      </c>
    </row>
    <row r="33" customFormat="false" ht="15.75" hidden="false" customHeight="true" outlineLevel="0" collapsed="false">
      <c r="A33" s="10" t="s">
        <v>404</v>
      </c>
      <c r="B33" s="54" t="n">
        <v>150</v>
      </c>
      <c r="C33" s="10" t="s">
        <v>405</v>
      </c>
    </row>
    <row r="34" customFormat="false" ht="15.75" hidden="false" customHeight="true" outlineLevel="0" collapsed="false">
      <c r="A34" s="10" t="s">
        <v>406</v>
      </c>
      <c r="B34" s="54" t="n">
        <v>3</v>
      </c>
      <c r="C34" s="10"/>
    </row>
    <row r="35" customFormat="false" ht="15.75" hidden="false" customHeight="true" outlineLevel="0" collapsed="false">
      <c r="A35" s="10" t="s">
        <v>407</v>
      </c>
      <c r="B35" s="54" t="n">
        <v>59</v>
      </c>
      <c r="C35" s="10"/>
    </row>
    <row r="36" customFormat="false" ht="15.75" hidden="false" customHeight="true" outlineLevel="0" collapsed="false">
      <c r="A36" s="10" t="s">
        <v>408</v>
      </c>
      <c r="B36" s="54" t="n">
        <v>2</v>
      </c>
      <c r="C36" s="10" t="s">
        <v>409</v>
      </c>
    </row>
    <row r="37" customFormat="false" ht="15.75" hidden="false" customHeight="true" outlineLevel="0" collapsed="false"/>
    <row r="38" customFormat="false" ht="15.75" hidden="false" customHeight="true" outlineLevel="0" collapsed="false">
      <c r="A38" s="49" t="s">
        <v>410</v>
      </c>
      <c r="B38" s="49"/>
      <c r="C38" s="49"/>
      <c r="D38" s="49"/>
    </row>
    <row r="39" customFormat="false" ht="15.75" hidden="false" customHeight="true" outlineLevel="0" collapsed="false">
      <c r="A39" s="10" t="s">
        <v>411</v>
      </c>
      <c r="B39" s="51" t="n">
        <v>0.35</v>
      </c>
      <c r="C39" s="14" t="s">
        <v>412</v>
      </c>
      <c r="D39" s="10"/>
    </row>
    <row r="40" customFormat="false" ht="15.75" hidden="false" customHeight="true" outlineLevel="0" collapsed="false">
      <c r="A40" s="10" t="s">
        <v>413</v>
      </c>
      <c r="B40" s="51" t="n">
        <v>1.5</v>
      </c>
      <c r="C40" s="14" t="s">
        <v>414</v>
      </c>
      <c r="D40" s="10"/>
    </row>
    <row r="41" customFormat="false" ht="15.75" hidden="false" customHeight="true" outlineLevel="0" collapsed="false">
      <c r="A41" s="10" t="s">
        <v>415</v>
      </c>
      <c r="B41" s="51" t="n">
        <v>25.4</v>
      </c>
      <c r="C41" s="14" t="s">
        <v>416</v>
      </c>
      <c r="D41" s="10"/>
    </row>
    <row r="42" customFormat="false" ht="15.75" hidden="false" customHeight="true" outlineLevel="0" collapsed="false">
      <c r="A42" s="10" t="s">
        <v>417</v>
      </c>
      <c r="B42" s="54" t="n">
        <v>15</v>
      </c>
      <c r="C42" s="14" t="s">
        <v>418</v>
      </c>
      <c r="D42" s="10"/>
    </row>
    <row r="43" customFormat="false" ht="15.75" hidden="false" customHeight="true" outlineLevel="0" collapsed="false">
      <c r="A43" s="10" t="s">
        <v>419</v>
      </c>
      <c r="B43" s="54" t="n">
        <v>15.49</v>
      </c>
      <c r="C43" s="14" t="s">
        <v>420</v>
      </c>
      <c r="D43" s="10"/>
    </row>
    <row r="44" customFormat="false" ht="15.75" hidden="false" customHeight="true" outlineLevel="0" collapsed="false">
      <c r="A44" s="10" t="s">
        <v>421</v>
      </c>
      <c r="B44" s="54" t="n">
        <v>14</v>
      </c>
      <c r="C44" s="14" t="s">
        <v>422</v>
      </c>
      <c r="D44" s="10"/>
    </row>
    <row r="45" customFormat="false" ht="15.75" hidden="false" customHeight="true" outlineLevel="0" collapsed="false">
      <c r="A45" s="10" t="s">
        <v>423</v>
      </c>
      <c r="B45" s="54" t="n">
        <v>26</v>
      </c>
      <c r="C45" s="14" t="s">
        <v>424</v>
      </c>
      <c r="D45" s="10"/>
    </row>
    <row r="46" customFormat="false" ht="15.75" hidden="false" customHeight="true" outlineLevel="0" collapsed="false">
      <c r="A46" s="10" t="s">
        <v>425</v>
      </c>
      <c r="B46" s="54" t="n">
        <v>15.99</v>
      </c>
      <c r="C46" s="14" t="s">
        <v>426</v>
      </c>
      <c r="D46" s="10"/>
    </row>
    <row r="47" customFormat="false" ht="15.75" hidden="false" customHeight="true" outlineLevel="0" collapsed="false">
      <c r="A47" s="10" t="s">
        <v>427</v>
      </c>
      <c r="B47" s="54" t="n">
        <v>24.99</v>
      </c>
      <c r="C47" s="14" t="s">
        <v>428</v>
      </c>
      <c r="D47" s="10"/>
    </row>
    <row r="48" customFormat="false" ht="15.75" hidden="false" customHeight="true" outlineLevel="0" collapsed="false"/>
    <row r="49" customFormat="false" ht="15.75" hidden="false" customHeight="true" outlineLevel="0" collapsed="false">
      <c r="A49" s="1" t="s">
        <v>429</v>
      </c>
    </row>
    <row r="50" customFormat="false" ht="15.75" hidden="false" customHeight="true" outlineLevel="0" collapsed="false">
      <c r="A50" s="1" t="s">
        <v>430</v>
      </c>
      <c r="B50" s="1" t="n">
        <v>2</v>
      </c>
      <c r="C50" s="1" t="s">
        <v>431</v>
      </c>
    </row>
    <row r="51" customFormat="false" ht="15.75" hidden="false" customHeight="true" outlineLevel="0" collapsed="false">
      <c r="A51" s="1" t="s">
        <v>432</v>
      </c>
      <c r="B51" s="1" t="n">
        <v>3.2</v>
      </c>
      <c r="C51" s="1" t="s">
        <v>433</v>
      </c>
    </row>
    <row r="52" customFormat="false" ht="15.75" hidden="false" customHeight="true" outlineLevel="0" collapsed="false">
      <c r="A52" s="1" t="s">
        <v>434</v>
      </c>
      <c r="B52" s="1" t="n">
        <v>6</v>
      </c>
      <c r="C52" s="1" t="s">
        <v>435</v>
      </c>
    </row>
    <row r="53" customFormat="false" ht="15.75" hidden="false" customHeight="true" outlineLevel="0" collapsed="false">
      <c r="A53" s="1" t="s">
        <v>436</v>
      </c>
      <c r="B53" s="1" t="n">
        <v>32</v>
      </c>
    </row>
    <row r="54" customFormat="false" ht="15.75" hidden="false" customHeight="true" outlineLevel="0" collapsed="false">
      <c r="A54" s="1" t="s">
        <v>437</v>
      </c>
      <c r="B54" s="1" t="n">
        <v>0.35</v>
      </c>
      <c r="C54" s="6" t="s">
        <v>438</v>
      </c>
    </row>
    <row r="55" customFormat="false" ht="15.75" hidden="false" customHeight="true" outlineLevel="0" collapsed="false">
      <c r="A55" s="1" t="s">
        <v>439</v>
      </c>
      <c r="B55" s="1" t="n">
        <v>9</v>
      </c>
      <c r="C55" s="1" t="s">
        <v>440</v>
      </c>
    </row>
    <row r="56" customFormat="false" ht="15.75" hidden="false" customHeight="true" outlineLevel="0" collapsed="false">
      <c r="A56" s="1" t="s">
        <v>441</v>
      </c>
      <c r="B56" s="1" t="n">
        <v>25.4</v>
      </c>
    </row>
    <row r="57" customFormat="false" ht="15.75" hidden="false" customHeight="true" outlineLevel="0" collapsed="false">
      <c r="A57" s="1" t="s">
        <v>442</v>
      </c>
      <c r="B57" s="1" t="n">
        <v>210</v>
      </c>
      <c r="C57" s="1" t="s">
        <v>443</v>
      </c>
    </row>
    <row r="58" customFormat="false" ht="15.75" hidden="false" customHeight="true" outlineLevel="0" collapsed="false">
      <c r="A58" s="1" t="s">
        <v>444</v>
      </c>
      <c r="B58" s="1" t="n">
        <v>190</v>
      </c>
      <c r="C58" s="1" t="s">
        <v>445</v>
      </c>
    </row>
    <row r="59" customFormat="false" ht="15.75" hidden="false" customHeight="true" outlineLevel="0" collapsed="false">
      <c r="A59" s="1" t="s">
        <v>446</v>
      </c>
      <c r="B59" s="1" t="n">
        <v>180</v>
      </c>
      <c r="C59" s="1" t="s">
        <v>447</v>
      </c>
    </row>
    <row r="60" customFormat="false" ht="15.75" hidden="false" customHeight="true" outlineLevel="0" collapsed="false">
      <c r="A60" s="1" t="s">
        <v>448</v>
      </c>
      <c r="B60" s="1" t="n">
        <v>30</v>
      </c>
      <c r="C60" s="1" t="s">
        <v>449</v>
      </c>
    </row>
    <row r="61" customFormat="false" ht="15.75" hidden="false" customHeight="true" outlineLevel="0" collapsed="false">
      <c r="A61" s="1" t="s">
        <v>450</v>
      </c>
      <c r="B61" s="1" t="n">
        <v>0.5</v>
      </c>
    </row>
    <row r="62" customFormat="false" ht="15.75" hidden="false" customHeight="true" outlineLevel="0" collapsed="false">
      <c r="A62" s="1" t="s">
        <v>451</v>
      </c>
      <c r="B62" s="1" t="n">
        <v>9</v>
      </c>
      <c r="C62" s="1" t="s">
        <v>452</v>
      </c>
    </row>
    <row r="63" customFormat="false" ht="15.75" hidden="false" customHeight="true" outlineLevel="0" collapsed="false">
      <c r="A63" s="1" t="s">
        <v>453</v>
      </c>
      <c r="B63" s="1" t="n">
        <v>2</v>
      </c>
      <c r="C63" s="1" t="s">
        <v>454</v>
      </c>
    </row>
    <row r="64" customFormat="false" ht="15.75" hidden="false" customHeight="true" outlineLevel="0" collapsed="false">
      <c r="A64" s="1" t="s">
        <v>455</v>
      </c>
      <c r="C64" s="1" t="s">
        <v>456</v>
      </c>
    </row>
    <row r="65" customFormat="false" ht="15.75" hidden="false" customHeight="true" outlineLevel="0" collapsed="false">
      <c r="A65" s="1" t="s">
        <v>457</v>
      </c>
      <c r="B65" s="1" t="n">
        <v>0.65</v>
      </c>
      <c r="C65" s="1" t="s">
        <v>458</v>
      </c>
    </row>
    <row r="66" customFormat="false" ht="15.75" hidden="false" customHeight="true" outlineLevel="0" collapsed="false">
      <c r="A66" s="1" t="s">
        <v>459</v>
      </c>
      <c r="B66" s="1" t="n">
        <f aca="false">FLOOR(B12/2,1)</f>
        <v>40</v>
      </c>
      <c r="C66" s="1" t="s">
        <v>460</v>
      </c>
    </row>
    <row r="67" customFormat="false" ht="15.75" hidden="false" customHeight="true" outlineLevel="0" collapsed="false">
      <c r="A67" s="1" t="s">
        <v>461</v>
      </c>
      <c r="B67" s="1" t="n">
        <v>150</v>
      </c>
      <c r="C67" s="1" t="s">
        <v>462</v>
      </c>
    </row>
    <row r="68" customFormat="false" ht="15.75" hidden="false" customHeight="true" outlineLevel="0" collapsed="false">
      <c r="A68" s="1" t="s">
        <v>463</v>
      </c>
      <c r="B68" s="1" t="n">
        <v>10</v>
      </c>
      <c r="C68" s="1" t="s">
        <v>464</v>
      </c>
    </row>
    <row r="69" customFormat="false" ht="15.75" hidden="false" customHeight="true" outlineLevel="0" collapsed="false">
      <c r="A69" s="1" t="s">
        <v>465</v>
      </c>
      <c r="B69" s="1" t="n">
        <v>64</v>
      </c>
    </row>
    <row r="70" customFormat="false" ht="15.75" hidden="false" customHeight="true" outlineLevel="0" collapsed="false">
      <c r="A70" s="1" t="s">
        <v>466</v>
      </c>
      <c r="B70" s="24" t="n">
        <v>7.49</v>
      </c>
    </row>
    <row r="71" customFormat="false" ht="15.75" hidden="false" customHeight="true" outlineLevel="0" collapsed="false">
      <c r="A71" s="1" t="s">
        <v>467</v>
      </c>
      <c r="B71" s="1" t="n">
        <v>192</v>
      </c>
      <c r="C71" s="1" t="s">
        <v>468</v>
      </c>
    </row>
    <row r="72" customFormat="false" ht="15.75" hidden="false" customHeight="true" outlineLevel="0" collapsed="false">
      <c r="A72" s="1" t="s">
        <v>469</v>
      </c>
      <c r="B72" s="24" t="n">
        <v>13.99</v>
      </c>
      <c r="C72" s="1" t="s">
        <v>470</v>
      </c>
    </row>
    <row r="73" customFormat="false" ht="15.75" hidden="false" customHeight="true" outlineLevel="0" collapsed="false">
      <c r="A73" s="1" t="s">
        <v>471</v>
      </c>
      <c r="B73" s="1" t="n">
        <v>25</v>
      </c>
    </row>
    <row r="74" customFormat="false" ht="15.75" hidden="false" customHeight="true" outlineLevel="0" collapsed="false">
      <c r="A74" s="1" t="s">
        <v>472</v>
      </c>
      <c r="B74" s="1" t="n">
        <v>7.5</v>
      </c>
      <c r="C74" s="1" t="s">
        <v>473</v>
      </c>
    </row>
    <row r="75" customFormat="false" ht="15.75" hidden="false" customHeight="true" outlineLevel="0" collapsed="false">
      <c r="A75" s="1" t="s">
        <v>474</v>
      </c>
      <c r="B75" s="1" t="n">
        <v>16</v>
      </c>
      <c r="C75" s="1" t="s">
        <v>475</v>
      </c>
    </row>
    <row r="76" customFormat="false" ht="15.75" hidden="false" customHeight="true" outlineLevel="0" collapsed="false">
      <c r="A76" s="1" t="s">
        <v>476</v>
      </c>
      <c r="B76" s="1" t="n">
        <v>90</v>
      </c>
      <c r="C76" s="1" t="s">
        <v>477</v>
      </c>
    </row>
    <row r="77" customFormat="false" ht="15.75" hidden="false" customHeight="true" outlineLevel="0" collapsed="false">
      <c r="A77" s="1" t="s">
        <v>478</v>
      </c>
      <c r="B77" s="1" t="n">
        <v>7</v>
      </c>
    </row>
    <row r="78" customFormat="false" ht="15.75" hidden="false" customHeight="true" outlineLevel="0" collapsed="false">
      <c r="A78" s="1" t="s">
        <v>479</v>
      </c>
      <c r="B78" s="1" t="n">
        <v>48</v>
      </c>
      <c r="C78" s="1" t="s">
        <v>480</v>
      </c>
    </row>
    <row r="79" customFormat="false" ht="15.75" hidden="false" customHeight="true" outlineLevel="0" collapsed="false">
      <c r="A79" s="1" t="s">
        <v>481</v>
      </c>
      <c r="B79" s="1" t="n">
        <v>4</v>
      </c>
    </row>
    <row r="80" customFormat="false" ht="15.75" hidden="false" customHeight="true" outlineLevel="0" collapsed="false">
      <c r="A80" s="1" t="s">
        <v>482</v>
      </c>
      <c r="B80" s="24" t="n">
        <v>9.99</v>
      </c>
      <c r="C80" s="1" t="s">
        <v>483</v>
      </c>
    </row>
    <row r="81" customFormat="false" ht="15.75" hidden="false" customHeight="true" outlineLevel="0" collapsed="false">
      <c r="A81" s="1" t="s">
        <v>484</v>
      </c>
      <c r="B81" s="1" t="n">
        <v>8</v>
      </c>
      <c r="C81" s="1" t="s">
        <v>485</v>
      </c>
    </row>
    <row r="82" customFormat="false" ht="15.75" hidden="false" customHeight="true" outlineLevel="0" collapsed="false">
      <c r="A82" s="1" t="s">
        <v>486</v>
      </c>
      <c r="B82" s="1" t="n">
        <v>3</v>
      </c>
    </row>
    <row r="83" customFormat="false" ht="15.75" hidden="false" customHeight="true" outlineLevel="0" collapsed="false">
      <c r="A83" s="1" t="s">
        <v>487</v>
      </c>
      <c r="B83" s="1" t="n">
        <v>0.5</v>
      </c>
      <c r="C83" s="1" t="s">
        <v>488</v>
      </c>
    </row>
    <row r="84" customFormat="false" ht="15.75" hidden="false" customHeight="true" outlineLevel="0" collapsed="false">
      <c r="A84" s="1" t="s">
        <v>489</v>
      </c>
      <c r="B84" s="1" t="n">
        <v>1</v>
      </c>
      <c r="C84" s="1" t="s">
        <v>490</v>
      </c>
    </row>
    <row r="85" customFormat="false" ht="15.75" hidden="false" customHeight="true" outlineLevel="0" collapsed="false">
      <c r="A85" s="1" t="s">
        <v>491</v>
      </c>
      <c r="B85" s="1" t="n">
        <v>12</v>
      </c>
      <c r="C85" s="1" t="s">
        <v>492</v>
      </c>
    </row>
    <row r="86" customFormat="false" ht="15.75" hidden="false" customHeight="true" outlineLevel="0" collapsed="false">
      <c r="A86" s="1" t="s">
        <v>493</v>
      </c>
      <c r="B86" s="1" t="n">
        <v>5</v>
      </c>
    </row>
    <row r="87" customFormat="false" ht="15.75" hidden="false" customHeight="true" outlineLevel="0" collapsed="false">
      <c r="A87" s="1" t="s">
        <v>494</v>
      </c>
      <c r="B87" s="1" t="n">
        <v>9</v>
      </c>
      <c r="C87" s="1" t="s">
        <v>495</v>
      </c>
    </row>
    <row r="88" customFormat="false" ht="15.75" hidden="false" customHeight="true" outlineLevel="0" collapsed="false">
      <c r="A88" s="1" t="s">
        <v>496</v>
      </c>
      <c r="B88" s="1" t="n">
        <v>14.99</v>
      </c>
      <c r="C88" s="1" t="s">
        <v>497</v>
      </c>
    </row>
    <row r="89" customFormat="false" ht="15.75" hidden="false" customHeight="true" outlineLevel="0" collapsed="false">
      <c r="A89" s="1" t="s">
        <v>498</v>
      </c>
      <c r="B89" s="1" t="n">
        <v>59</v>
      </c>
      <c r="C89" s="1" t="s">
        <v>499</v>
      </c>
    </row>
    <row r="90" customFormat="false" ht="15.75" hidden="false" customHeight="true" outlineLevel="0" collapsed="false">
      <c r="A90" s="1" t="s">
        <v>500</v>
      </c>
      <c r="B90" s="1" t="n">
        <v>4.8</v>
      </c>
      <c r="C90" s="1" t="s">
        <v>501</v>
      </c>
    </row>
    <row r="91" customFormat="false" ht="15.75" hidden="false" customHeight="true" outlineLevel="0" collapsed="false">
      <c r="A91" s="1" t="s">
        <v>502</v>
      </c>
      <c r="B91" s="24" t="n">
        <v>16.9</v>
      </c>
    </row>
    <row r="92" customFormat="false" ht="15.75" hidden="false" customHeight="true" outlineLevel="0" collapsed="false">
      <c r="A92" s="1" t="s">
        <v>503</v>
      </c>
      <c r="B92" s="56" t="n">
        <v>6.5</v>
      </c>
      <c r="C92" s="6" t="s">
        <v>504</v>
      </c>
    </row>
    <row r="93" customFormat="false" ht="15.75" hidden="false" customHeight="true" outlineLevel="0" collapsed="false">
      <c r="A93" s="1" t="s">
        <v>505</v>
      </c>
      <c r="B93" s="56" t="n">
        <v>7.25</v>
      </c>
      <c r="C93" s="6" t="s">
        <v>506</v>
      </c>
    </row>
    <row r="94" customFormat="false" ht="15.75" hidden="false" customHeight="true" outlineLevel="0" collapsed="false"/>
    <row r="95" customFormat="false" ht="15.75" hidden="false" customHeight="true" outlineLevel="0" collapsed="false">
      <c r="A95" s="23" t="s">
        <v>507</v>
      </c>
    </row>
    <row r="96" customFormat="false" ht="15.75" hidden="false" customHeight="true" outlineLevel="0" collapsed="false">
      <c r="A96" s="1" t="s">
        <v>508</v>
      </c>
      <c r="B96" s="1" t="n">
        <v>12</v>
      </c>
      <c r="C96" s="1" t="s">
        <v>509</v>
      </c>
    </row>
    <row r="97" customFormat="false" ht="15.75" hidden="false" customHeight="true" outlineLevel="0" collapsed="false">
      <c r="A97" s="1" t="s">
        <v>510</v>
      </c>
      <c r="B97" s="1" t="n">
        <v>1.7</v>
      </c>
      <c r="C97" s="1" t="s">
        <v>511</v>
      </c>
    </row>
    <row r="98" customFormat="false" ht="15.75" hidden="false" customHeight="true" outlineLevel="0" collapsed="false">
      <c r="A98" s="1" t="s">
        <v>512</v>
      </c>
      <c r="B98" s="1" t="n">
        <v>0</v>
      </c>
      <c r="C98" s="1" t="s">
        <v>513</v>
      </c>
    </row>
    <row r="99" customFormat="false" ht="15.75" hidden="false" customHeight="true" outlineLevel="0" collapsed="false">
      <c r="A99" s="1" t="s">
        <v>514</v>
      </c>
      <c r="B99" s="1" t="n">
        <v>1.5</v>
      </c>
      <c r="C99" s="1" t="s">
        <v>515</v>
      </c>
    </row>
    <row r="100" customFormat="false" ht="15.75" hidden="false" customHeight="true" outlineLevel="0" collapsed="false">
      <c r="A100" s="1" t="s">
        <v>516</v>
      </c>
      <c r="B100" s="24" t="n">
        <v>0.29</v>
      </c>
      <c r="C100" s="1" t="s">
        <v>517</v>
      </c>
    </row>
    <row r="101" customFormat="false" ht="15.75" hidden="false" customHeight="true" outlineLevel="0" collapsed="false"/>
    <row r="102" customFormat="false" ht="15.75" hidden="false" customHeight="true" outlineLevel="0" collapsed="false">
      <c r="A102" s="23" t="s">
        <v>518</v>
      </c>
    </row>
    <row r="103" customFormat="false" ht="15.75" hidden="false" customHeight="true" outlineLevel="0" collapsed="false">
      <c r="A103" s="1" t="s">
        <v>519</v>
      </c>
      <c r="B103" s="1" t="n">
        <v>64</v>
      </c>
      <c r="C103" s="1" t="s">
        <v>520</v>
      </c>
    </row>
    <row r="104" customFormat="false" ht="15.75" hidden="false" customHeight="true" outlineLevel="0" collapsed="false">
      <c r="A104" s="1" t="s">
        <v>521</v>
      </c>
      <c r="B104" s="24" t="n">
        <v>3.25</v>
      </c>
      <c r="C104" s="1" t="s">
        <v>522</v>
      </c>
    </row>
    <row r="105" customFormat="false" ht="15.75" hidden="false" customHeight="true" outlineLevel="0" collapsed="false">
      <c r="A105" s="1" t="s">
        <v>523</v>
      </c>
      <c r="B105" s="1" t="n">
        <v>0</v>
      </c>
      <c r="C105" s="1" t="s">
        <v>524</v>
      </c>
    </row>
    <row r="106" customFormat="false" ht="15.75" hidden="false" customHeight="true" outlineLevel="0" collapsed="false">
      <c r="A106" s="1" t="s">
        <v>525</v>
      </c>
      <c r="B106" s="1" t="n">
        <v>12</v>
      </c>
    </row>
    <row r="107" customFormat="false" ht="15.75" hidden="false" customHeight="true" outlineLevel="0" collapsed="false">
      <c r="A107" s="1" t="s">
        <v>526</v>
      </c>
      <c r="B107" s="1" t="n">
        <v>1.75</v>
      </c>
      <c r="C107" s="1" t="s">
        <v>527</v>
      </c>
    </row>
    <row r="108" customFormat="false" ht="15.75" hidden="false" customHeight="true" outlineLevel="0" collapsed="false">
      <c r="A108" s="1" t="s">
        <v>528</v>
      </c>
      <c r="B108" s="1" t="n">
        <v>0.1</v>
      </c>
      <c r="C108" s="1" t="s">
        <v>529</v>
      </c>
    </row>
    <row r="109" customFormat="false" ht="15.75" hidden="false" customHeight="true" outlineLevel="0" collapsed="false">
      <c r="A109" s="1" t="s">
        <v>530</v>
      </c>
      <c r="B109" s="1" t="n">
        <v>5</v>
      </c>
    </row>
    <row r="110" customFormat="false" ht="15.75" hidden="false" customHeight="true" outlineLevel="0" collapsed="false">
      <c r="A110" s="1" t="s">
        <v>531</v>
      </c>
      <c r="B110" s="1" t="n">
        <v>4.68</v>
      </c>
      <c r="C110" s="1" t="s">
        <v>532</v>
      </c>
    </row>
    <row r="111" customFormat="false" ht="15.75" hidden="false" customHeight="true" outlineLevel="0" collapsed="false">
      <c r="A111" s="1" t="s">
        <v>533</v>
      </c>
      <c r="B111" s="1" t="n">
        <v>1</v>
      </c>
      <c r="C111" s="1" t="s">
        <v>534</v>
      </c>
    </row>
    <row r="112" customFormat="false" ht="15.75" hidden="false" customHeight="true" outlineLevel="0" collapsed="false">
      <c r="A112" s="1" t="s">
        <v>535</v>
      </c>
      <c r="B112" s="24" t="n">
        <v>0.32</v>
      </c>
      <c r="C112" s="1" t="s">
        <v>536</v>
      </c>
    </row>
    <row r="113" customFormat="false" ht="15.75" hidden="false" customHeight="true" outlineLevel="0" collapsed="false">
      <c r="A113" s="1" t="s">
        <v>537</v>
      </c>
      <c r="B113" s="1" t="n">
        <v>0.5</v>
      </c>
      <c r="C113" s="1" t="s">
        <v>538</v>
      </c>
    </row>
    <row r="114" customFormat="false" ht="15.75" hidden="false" customHeight="true" outlineLevel="0" collapsed="false">
      <c r="A114" s="23" t="s">
        <v>539</v>
      </c>
    </row>
    <row r="115" customFormat="false" ht="15.75" hidden="false" customHeight="true" outlineLevel="0" collapsed="false">
      <c r="A115" s="1" t="s">
        <v>540</v>
      </c>
      <c r="B115" s="57" t="n">
        <f aca="false">B68*33.814</f>
        <v>338.14</v>
      </c>
      <c r="C115" s="1" t="s">
        <v>541</v>
      </c>
    </row>
    <row r="116" customFormat="false" ht="15.75" hidden="false" customHeight="true" outlineLevel="0" collapsed="false">
      <c r="A116" s="1" t="s">
        <v>542</v>
      </c>
      <c r="B116" s="57" t="n">
        <v>10</v>
      </c>
      <c r="C116" s="1" t="s">
        <v>543</v>
      </c>
    </row>
    <row r="117" customFormat="false" ht="15.75" hidden="false" customHeight="true" outlineLevel="0" collapsed="false">
      <c r="A117" s="1" t="s">
        <v>544</v>
      </c>
      <c r="B117" s="29" t="n">
        <f aca="false">FLOOR(B115/B116,1)</f>
        <v>33</v>
      </c>
      <c r="C117" s="1" t="s">
        <v>545</v>
      </c>
    </row>
    <row r="118" customFormat="false" ht="15.75" hidden="false" customHeight="true" outlineLevel="0" collapsed="false">
      <c r="A118" s="1" t="s">
        <v>546</v>
      </c>
      <c r="B118" s="1" t="n">
        <v>0.5</v>
      </c>
      <c r="C118" s="1" t="s">
        <v>547</v>
      </c>
    </row>
    <row r="119" customFormat="false" ht="15.75" hidden="false" customHeight="true" outlineLevel="0" collapsed="false">
      <c r="A119" s="23" t="s">
        <v>548</v>
      </c>
    </row>
    <row r="120" customFormat="false" ht="15.75" hidden="false" customHeight="true" outlineLevel="0" collapsed="false">
      <c r="A120" s="1" t="s">
        <v>549</v>
      </c>
      <c r="B120" s="1" t="n">
        <v>8</v>
      </c>
      <c r="C120" s="1" t="s">
        <v>550</v>
      </c>
    </row>
    <row r="121" customFormat="false" ht="15.75" hidden="false" customHeight="true" outlineLevel="0" collapsed="false">
      <c r="A121" s="1" t="s">
        <v>551</v>
      </c>
      <c r="B121" s="24" t="n">
        <v>0</v>
      </c>
      <c r="C121" s="6" t="s">
        <v>552</v>
      </c>
    </row>
    <row r="122" customFormat="false" ht="15.75" hidden="false" customHeight="true" outlineLevel="0" collapsed="false"/>
    <row r="123" customFormat="false" ht="15.75" hidden="false" customHeight="true" outlineLevel="0" collapsed="false"/>
    <row r="124" customFormat="false" ht="15.75" hidden="false" customHeight="true" outlineLevel="0" collapsed="false">
      <c r="A124" s="1" t="s">
        <v>553</v>
      </c>
      <c r="B124" s="1" t="n">
        <v>0.085</v>
      </c>
      <c r="C124" s="1" t="s">
        <v>554</v>
      </c>
    </row>
    <row r="125" customFormat="false" ht="15.75" hidden="false" customHeight="true" outlineLevel="0" collapsed="false">
      <c r="A125" s="1" t="s">
        <v>555</v>
      </c>
      <c r="B125" s="1" t="n">
        <v>16</v>
      </c>
    </row>
    <row r="126" customFormat="false" ht="15.75" hidden="false" customHeight="true" outlineLevel="0" collapsed="false">
      <c r="A126" s="1" t="s">
        <v>556</v>
      </c>
      <c r="B126" s="1" t="n">
        <v>14</v>
      </c>
      <c r="C126" s="1" t="s">
        <v>557</v>
      </c>
    </row>
    <row r="127" customFormat="false" ht="15.75" hidden="false" customHeight="true" outlineLevel="0" collapsed="false">
      <c r="A127" s="23" t="s">
        <v>558</v>
      </c>
    </row>
    <row r="128" customFormat="false" ht="15.75" hidden="false" customHeight="true" outlineLevel="0" collapsed="false">
      <c r="A128" s="1" t="s">
        <v>559</v>
      </c>
      <c r="B128" s="1" t="n">
        <v>0.25</v>
      </c>
      <c r="C128" s="1" t="s">
        <v>560</v>
      </c>
    </row>
    <row r="129" customFormat="false" ht="15.75" hidden="false" customHeight="true" outlineLevel="0" collapsed="false">
      <c r="A129" s="1" t="s">
        <v>561</v>
      </c>
      <c r="B129" s="1" t="n">
        <v>32</v>
      </c>
    </row>
    <row r="130" customFormat="false" ht="15.75" hidden="false" customHeight="true" outlineLevel="0" collapsed="false">
      <c r="A130" s="1" t="s">
        <v>562</v>
      </c>
      <c r="B130" s="1" t="n">
        <v>6.17</v>
      </c>
      <c r="C130" s="1" t="s">
        <v>563</v>
      </c>
    </row>
    <row r="131" customFormat="false" ht="15.75" hidden="false" customHeight="true" outlineLevel="0" collapsed="false">
      <c r="A131" s="1" t="s">
        <v>564</v>
      </c>
      <c r="B131" s="1" t="n">
        <v>0.25</v>
      </c>
      <c r="C131" s="1" t="s">
        <v>565</v>
      </c>
    </row>
    <row r="132" customFormat="false" ht="15.75" hidden="false" customHeight="true" outlineLevel="0" collapsed="false">
      <c r="A132" s="1" t="s">
        <v>566</v>
      </c>
      <c r="B132" s="24" t="n">
        <v>36</v>
      </c>
    </row>
    <row r="133" customFormat="false" ht="15.75" hidden="false" customHeight="true" outlineLevel="0" collapsed="false">
      <c r="A133" s="1" t="s">
        <v>567</v>
      </c>
      <c r="B133" s="24" t="n">
        <v>4.75</v>
      </c>
    </row>
    <row r="134" customFormat="false" ht="15.75" hidden="false" customHeight="true" outlineLevel="0" collapsed="false">
      <c r="A134" s="23" t="s">
        <v>568</v>
      </c>
    </row>
    <row r="135" customFormat="false" ht="15.75" hidden="false" customHeight="true" outlineLevel="0" collapsed="false">
      <c r="A135" s="1" t="s">
        <v>569</v>
      </c>
      <c r="B135" s="1" t="n">
        <v>5</v>
      </c>
      <c r="C135" s="1" t="s">
        <v>570</v>
      </c>
    </row>
    <row r="136" customFormat="false" ht="15.75" hidden="false" customHeight="true" outlineLevel="0" collapsed="false">
      <c r="A136" s="1" t="s">
        <v>571</v>
      </c>
      <c r="B136" s="1" t="n">
        <v>1.3</v>
      </c>
      <c r="C136" s="1" t="s">
        <v>572</v>
      </c>
    </row>
    <row r="137" customFormat="false" ht="15.75" hidden="false" customHeight="true" outlineLevel="0" collapsed="false">
      <c r="A137" s="1" t="s">
        <v>573</v>
      </c>
      <c r="B137" s="1" t="n">
        <v>6.5</v>
      </c>
      <c r="C137" s="1" t="s">
        <v>574</v>
      </c>
    </row>
    <row r="138" customFormat="false" ht="15.75" hidden="false" customHeight="true" outlineLevel="0" collapsed="false">
      <c r="A138" s="1" t="s">
        <v>575</v>
      </c>
      <c r="B138" s="1" t="n">
        <v>5</v>
      </c>
      <c r="C138" s="1" t="s">
        <v>576</v>
      </c>
    </row>
    <row r="139" customFormat="false" ht="15.75" hidden="false" customHeight="true" outlineLevel="0" collapsed="false">
      <c r="A139" s="1" t="s">
        <v>577</v>
      </c>
      <c r="B139" s="1" t="n">
        <v>4</v>
      </c>
      <c r="C139" s="1" t="s">
        <v>578</v>
      </c>
    </row>
    <row r="140" customFormat="false" ht="15.75" hidden="false" customHeight="true" outlineLevel="0" collapsed="false">
      <c r="A140" s="1" t="s">
        <v>579</v>
      </c>
      <c r="B140" s="1" t="n">
        <v>54</v>
      </c>
    </row>
    <row r="141" customFormat="false" ht="15.75" hidden="false" customHeight="true" outlineLevel="0" collapsed="false">
      <c r="A141" s="1" t="s">
        <v>580</v>
      </c>
      <c r="B141" s="1" t="n">
        <v>7</v>
      </c>
      <c r="C141" s="1" t="s">
        <v>581</v>
      </c>
    </row>
    <row r="142" customFormat="false" ht="15.75" hidden="false" customHeight="true" outlineLevel="0" collapsed="false">
      <c r="A142" s="1" t="s">
        <v>582</v>
      </c>
      <c r="B142" s="1" t="n">
        <v>0.06</v>
      </c>
      <c r="C142" s="1" t="s">
        <v>583</v>
      </c>
    </row>
    <row r="143" customFormat="false" ht="15.75" hidden="false" customHeight="true" outlineLevel="0" collapsed="false">
      <c r="A143" s="1" t="s">
        <v>584</v>
      </c>
      <c r="B143" s="1" t="n">
        <v>4</v>
      </c>
    </row>
    <row r="144" customFormat="false" ht="15.75" hidden="false" customHeight="true" outlineLevel="0" collapsed="false">
      <c r="A144" s="1" t="s">
        <v>585</v>
      </c>
      <c r="B144" s="1" t="n">
        <v>11</v>
      </c>
      <c r="C144" s="1" t="s">
        <v>586</v>
      </c>
    </row>
    <row r="145" customFormat="false" ht="15.75" hidden="false" customHeight="true" outlineLevel="0" collapsed="false">
      <c r="A145" s="1" t="s">
        <v>587</v>
      </c>
      <c r="B145" s="1" t="n">
        <v>130</v>
      </c>
      <c r="C145" s="1" t="s">
        <v>588</v>
      </c>
    </row>
    <row r="146" customFormat="false" ht="15.75" hidden="false" customHeight="true" outlineLevel="0" collapsed="false">
      <c r="A146" s="23" t="s">
        <v>589</v>
      </c>
    </row>
    <row r="147" customFormat="false" ht="15.75" hidden="false" customHeight="true" outlineLevel="0" collapsed="false">
      <c r="A147" s="1" t="s">
        <v>590</v>
      </c>
      <c r="B147" s="1" t="n">
        <v>1.5</v>
      </c>
      <c r="C147" s="1" t="s">
        <v>591</v>
      </c>
    </row>
    <row r="148" customFormat="false" ht="15.75" hidden="false" customHeight="true" outlineLevel="0" collapsed="false">
      <c r="A148" s="1" t="s">
        <v>592</v>
      </c>
      <c r="B148" s="1" t="n">
        <v>50.7</v>
      </c>
      <c r="C148" s="1" t="s">
        <v>593</v>
      </c>
    </row>
    <row r="149" customFormat="false" ht="15.75" hidden="false" customHeight="true" outlineLevel="0" collapsed="false">
      <c r="A149" s="1" t="s">
        <v>594</v>
      </c>
      <c r="B149" s="1" t="n">
        <v>4.5</v>
      </c>
      <c r="C149" s="1" t="s">
        <v>595</v>
      </c>
    </row>
    <row r="150" customFormat="false" ht="15.75" hidden="false" customHeight="true" outlineLevel="0" collapsed="false">
      <c r="A150" s="1" t="s">
        <v>596</v>
      </c>
      <c r="B150" s="1" t="n">
        <v>0</v>
      </c>
      <c r="C150" s="1" t="s">
        <v>597</v>
      </c>
    </row>
    <row r="151" customFormat="false" ht="15.75" hidden="false" customHeight="true" outlineLevel="0" collapsed="false">
      <c r="A151" s="1" t="s">
        <v>598</v>
      </c>
      <c r="B151" s="1" t="n">
        <v>3.5</v>
      </c>
      <c r="C151" s="1" t="s">
        <v>599</v>
      </c>
    </row>
    <row r="152" customFormat="false" ht="15.75" hidden="false" customHeight="true" outlineLevel="0" collapsed="false">
      <c r="A152" s="1" t="s">
        <v>600</v>
      </c>
      <c r="B152" s="1" t="n">
        <v>4</v>
      </c>
      <c r="C152" s="1" t="s">
        <v>601</v>
      </c>
    </row>
    <row r="153" customFormat="false" ht="15.75" hidden="false" customHeight="true" outlineLevel="0" collapsed="false">
      <c r="A153" s="23" t="s">
        <v>602</v>
      </c>
    </row>
    <row r="154" customFormat="false" ht="15.75" hidden="false" customHeight="true" outlineLevel="0" collapsed="false">
      <c r="A154" s="1" t="s">
        <v>603</v>
      </c>
      <c r="B154" s="1" t="n">
        <v>0.5</v>
      </c>
      <c r="C154" s="1" t="s">
        <v>604</v>
      </c>
    </row>
    <row r="155" customFormat="false" ht="15.75" hidden="false" customHeight="true" outlineLevel="0" collapsed="false"/>
    <row r="156" customFormat="false" ht="15.75" hidden="false" customHeight="true" outlineLevel="0" collapsed="false">
      <c r="A156" s="5" t="s">
        <v>605</v>
      </c>
    </row>
    <row r="157" customFormat="false" ht="15.75" hidden="false" customHeight="true" outlineLevel="0" collapsed="false">
      <c r="A157" s="1" t="s">
        <v>606</v>
      </c>
      <c r="B157" s="58" t="n">
        <v>0.7</v>
      </c>
      <c r="C157" s="6" t="s">
        <v>607</v>
      </c>
    </row>
    <row r="158" customFormat="false" ht="15.75" hidden="false" customHeight="true" outlineLevel="0" collapsed="false"/>
    <row r="159" customFormat="false" ht="15.75" hidden="false" customHeight="true" outlineLevel="0" collapsed="false">
      <c r="A159" s="5" t="s">
        <v>608</v>
      </c>
    </row>
    <row r="160" customFormat="false" ht="15.75" hidden="false" customHeight="true" outlineLevel="0" collapsed="false">
      <c r="A160" s="1" t="s">
        <v>609</v>
      </c>
      <c r="B160" s="24" t="n">
        <v>120</v>
      </c>
      <c r="C160" s="6" t="s">
        <v>610</v>
      </c>
    </row>
    <row r="161" customFormat="false" ht="15.75" hidden="false" customHeight="true" outlineLevel="0" collapsed="false">
      <c r="A161" s="1" t="s">
        <v>611</v>
      </c>
      <c r="B161" s="24" t="n">
        <v>8</v>
      </c>
      <c r="C161" s="6" t="s">
        <v>612</v>
      </c>
    </row>
    <row r="162" customFormat="false" ht="15.75" hidden="false" customHeight="true" outlineLevel="0" collapsed="false">
      <c r="A162" s="1" t="s">
        <v>613</v>
      </c>
      <c r="B162" s="24" t="n">
        <v>1</v>
      </c>
      <c r="C162" s="6" t="s">
        <v>614</v>
      </c>
    </row>
    <row r="163" customFormat="false" ht="15.75" hidden="false" customHeight="true" outlineLevel="0" collapsed="false"/>
    <row r="164" customFormat="false" ht="15.75" hidden="false" customHeight="true" outlineLevel="0" collapsed="false">
      <c r="A164" s="5" t="s">
        <v>615</v>
      </c>
    </row>
    <row r="165" customFormat="false" ht="15.75" hidden="false" customHeight="true" outlineLevel="0" collapsed="false">
      <c r="A165" s="1" t="s">
        <v>616</v>
      </c>
      <c r="B165" s="24" t="n">
        <v>67.6</v>
      </c>
      <c r="C165" s="6" t="s">
        <v>617</v>
      </c>
    </row>
    <row r="166" customFormat="false" ht="15.75" hidden="false" customHeight="true" outlineLevel="0" collapsed="false">
      <c r="A166" s="1" t="s">
        <v>618</v>
      </c>
      <c r="B166" s="56" t="n">
        <v>2.78</v>
      </c>
      <c r="C166" s="6" t="s">
        <v>619</v>
      </c>
    </row>
    <row r="167" customFormat="false" ht="15.75" hidden="false" customHeight="true" outlineLevel="0" collapsed="false"/>
    <row r="168" customFormat="false" ht="15.75" hidden="false" customHeight="true" outlineLevel="0" collapsed="false">
      <c r="A168" s="5" t="s">
        <v>620</v>
      </c>
    </row>
    <row r="169" customFormat="false" ht="15.75" hidden="false" customHeight="true" outlineLevel="0" collapsed="false">
      <c r="A169" s="1" t="s">
        <v>621</v>
      </c>
      <c r="B169" s="59" t="n">
        <v>56</v>
      </c>
      <c r="C169" s="6" t="s">
        <v>622</v>
      </c>
    </row>
    <row r="170" customFormat="false" ht="15.75" hidden="false" customHeight="true" outlineLevel="0" collapsed="false">
      <c r="A170" s="1" t="s">
        <v>623</v>
      </c>
      <c r="B170" s="60" t="n">
        <v>16.9</v>
      </c>
      <c r="C170" s="6" t="s">
        <v>624</v>
      </c>
    </row>
    <row r="171" customFormat="false" ht="15.75" hidden="false" customHeight="true" outlineLevel="0" collapsed="false">
      <c r="A171" s="1" t="s">
        <v>625</v>
      </c>
      <c r="B171" s="59" t="n">
        <v>2</v>
      </c>
      <c r="C171" s="6" t="s">
        <v>626</v>
      </c>
    </row>
    <row r="172" customFormat="false" ht="15.75" hidden="false" customHeight="true" outlineLevel="0" collapsed="false">
      <c r="A172" s="1" t="s">
        <v>627</v>
      </c>
      <c r="B172" s="56" t="n">
        <v>9.99</v>
      </c>
      <c r="C172" s="6" t="s">
        <v>628</v>
      </c>
    </row>
    <row r="173" customFormat="false" ht="15.75" hidden="false" customHeight="true" outlineLevel="0" collapsed="false"/>
    <row r="174" customFormat="false" ht="15.75" hidden="false" customHeight="true" outlineLevel="0" collapsed="false">
      <c r="A174" s="1" t="s">
        <v>629</v>
      </c>
      <c r="B174" s="24" t="n">
        <v>8.4</v>
      </c>
      <c r="C174" s="6" t="s">
        <v>630</v>
      </c>
    </row>
    <row r="175" customFormat="false" ht="15.75" hidden="false" customHeight="true" outlineLevel="0" collapsed="false"/>
    <row r="176" customFormat="false" ht="15.75" hidden="false" customHeight="true" outlineLevel="0" collapsed="false">
      <c r="A176" s="23" t="s">
        <v>631</v>
      </c>
    </row>
    <row r="177" customFormat="false" ht="15.75" hidden="false" customHeight="true" outlineLevel="0" collapsed="false">
      <c r="A177" s="1" t="s">
        <v>632</v>
      </c>
      <c r="B177" s="1" t="n">
        <v>2</v>
      </c>
      <c r="C177" s="1" t="s">
        <v>633</v>
      </c>
    </row>
    <row r="178" customFormat="false" ht="15.75" hidden="false" customHeight="true" outlineLevel="0" collapsed="false">
      <c r="A178" s="1" t="s">
        <v>634</v>
      </c>
      <c r="B178" s="1" t="n">
        <v>4</v>
      </c>
      <c r="C178" s="1" t="s">
        <v>635</v>
      </c>
    </row>
    <row r="179" customFormat="false" ht="15.75" hidden="false" customHeight="true" outlineLevel="0" collapsed="false">
      <c r="A179" s="1" t="s">
        <v>636</v>
      </c>
      <c r="B179" s="1" t="n">
        <v>100</v>
      </c>
    </row>
    <row r="180" customFormat="false" ht="15.75" hidden="false" customHeight="true" outlineLevel="0" collapsed="false">
      <c r="A180" s="1" t="s">
        <v>637</v>
      </c>
      <c r="B180" s="1" t="n">
        <v>12</v>
      </c>
      <c r="C180" s="1" t="s">
        <v>638</v>
      </c>
    </row>
    <row r="181" customFormat="false" ht="15.75" hidden="false" customHeight="true" outlineLevel="0" collapsed="false"/>
    <row r="182" customFormat="false" ht="15.75" hidden="false" customHeight="true" outlineLevel="0" collapsed="false">
      <c r="A182" s="23" t="s">
        <v>639</v>
      </c>
    </row>
    <row r="183" customFormat="false" ht="15.75" hidden="false" customHeight="true" outlineLevel="0" collapsed="false">
      <c r="A183" s="1" t="s">
        <v>640</v>
      </c>
      <c r="B183" s="1" t="n">
        <v>48</v>
      </c>
      <c r="C183" s="1" t="s">
        <v>641</v>
      </c>
    </row>
    <row r="184" customFormat="false" ht="15.75" hidden="false" customHeight="true" outlineLevel="0" collapsed="false">
      <c r="A184" s="1" t="s">
        <v>642</v>
      </c>
      <c r="B184" s="1" t="n">
        <v>18</v>
      </c>
      <c r="C184" s="1" t="s">
        <v>643</v>
      </c>
    </row>
    <row r="185" customFormat="false" ht="15.75" hidden="false" customHeight="true" outlineLevel="0" collapsed="false">
      <c r="A185" s="1" t="s">
        <v>644</v>
      </c>
      <c r="B185" s="1" t="n">
        <v>24</v>
      </c>
      <c r="C185" s="1" t="s">
        <v>645</v>
      </c>
    </row>
    <row r="186" customFormat="false" ht="15.75" hidden="false" customHeight="true" outlineLevel="0" collapsed="false">
      <c r="A186" s="1" t="s">
        <v>646</v>
      </c>
      <c r="B186" s="1" t="n">
        <v>120</v>
      </c>
      <c r="C186" s="1" t="s">
        <v>647</v>
      </c>
    </row>
    <row r="187" customFormat="false" ht="15.75" hidden="false" customHeight="true" outlineLevel="0" collapsed="false">
      <c r="A187" s="1" t="s">
        <v>648</v>
      </c>
      <c r="B187" s="1" t="n">
        <v>24</v>
      </c>
      <c r="C187" s="1" t="s">
        <v>649</v>
      </c>
    </row>
    <row r="188" customFormat="false" ht="15.75" hidden="false" customHeight="true" outlineLevel="0" collapsed="false">
      <c r="A188" s="1" t="s">
        <v>650</v>
      </c>
      <c r="B188" s="1" t="n">
        <v>30.49</v>
      </c>
      <c r="C188" s="1" t="s">
        <v>651</v>
      </c>
    </row>
    <row r="189" customFormat="false" ht="15.75" hidden="false" customHeight="true" outlineLevel="0" collapsed="false">
      <c r="A189" s="1" t="s">
        <v>652</v>
      </c>
      <c r="B189" s="1" t="n">
        <v>96</v>
      </c>
      <c r="C189" s="1" t="s">
        <v>653</v>
      </c>
    </row>
    <row r="190" customFormat="false" ht="15.75" hidden="false" customHeight="true" outlineLevel="0" collapsed="false">
      <c r="A190" s="1" t="s">
        <v>654</v>
      </c>
      <c r="B190" s="1" t="n">
        <v>30</v>
      </c>
      <c r="C190" s="1" t="s">
        <v>655</v>
      </c>
    </row>
    <row r="191" customFormat="false" ht="15.75" hidden="false" customHeight="true" outlineLevel="0" collapsed="false">
      <c r="A191" s="1" t="s">
        <v>656</v>
      </c>
      <c r="B191" s="1" t="n">
        <v>21.49</v>
      </c>
      <c r="C191" s="1" t="s">
        <v>657</v>
      </c>
    </row>
    <row r="192" customFormat="false" ht="15.75" hidden="false" customHeight="true" outlineLevel="0" collapsed="false"/>
    <row r="193" customFormat="false" ht="15.75" hidden="false" customHeight="true" outlineLevel="0" collapsed="false">
      <c r="A193" s="5" t="s">
        <v>658</v>
      </c>
    </row>
    <row r="194" customFormat="false" ht="15.75" hidden="false" customHeight="true" outlineLevel="0" collapsed="false">
      <c r="A194" s="1" t="s">
        <v>659</v>
      </c>
      <c r="B194" s="59" t="n">
        <v>4</v>
      </c>
      <c r="C194" s="6" t="s">
        <v>660</v>
      </c>
    </row>
    <row r="195" customFormat="false" ht="15.75" hidden="false" customHeight="true" outlineLevel="0" collapsed="false">
      <c r="A195" s="1" t="s">
        <v>661</v>
      </c>
      <c r="B195" s="59" t="n">
        <v>32</v>
      </c>
      <c r="C195" s="6" t="s">
        <v>662</v>
      </c>
    </row>
    <row r="196" customFormat="false" ht="15.75" hidden="false" customHeight="true" outlineLevel="0" collapsed="false">
      <c r="A196" s="1" t="s">
        <v>663</v>
      </c>
      <c r="B196" s="56" t="n">
        <v>6.5</v>
      </c>
      <c r="C196" s="6" t="s">
        <v>664</v>
      </c>
    </row>
    <row r="197" customFormat="false" ht="15.75" hidden="false" customHeight="true" outlineLevel="0" collapsed="false"/>
    <row r="198" customFormat="false" ht="15.75" hidden="false" customHeight="true" outlineLevel="0" collapsed="false">
      <c r="A198" s="23" t="s">
        <v>665</v>
      </c>
    </row>
    <row r="199" customFormat="false" ht="15.75" hidden="false" customHeight="true" outlineLevel="0" collapsed="false">
      <c r="A199" s="1" t="s">
        <v>666</v>
      </c>
      <c r="B199" s="59" t="n">
        <v>24</v>
      </c>
      <c r="C199" s="6" t="s">
        <v>667</v>
      </c>
    </row>
    <row r="200" customFormat="false" ht="15.75" hidden="false" customHeight="true" outlineLevel="0" collapsed="false">
      <c r="A200" s="1" t="s">
        <v>668</v>
      </c>
      <c r="B200" s="59" t="n">
        <v>24</v>
      </c>
      <c r="C200" s="6" t="s">
        <v>669</v>
      </c>
    </row>
    <row r="201" customFormat="false" ht="15.75" hidden="false" customHeight="true" outlineLevel="0" collapsed="false">
      <c r="A201" s="1" t="s">
        <v>670</v>
      </c>
      <c r="B201" s="61" t="n">
        <f aca="false">B200*B97</f>
        <v>40.8</v>
      </c>
      <c r="C201" s="6" t="s">
        <v>671</v>
      </c>
    </row>
    <row r="202" customFormat="false" ht="15.75" hidden="false" customHeight="true" outlineLevel="0" collapsed="false"/>
    <row r="203" customFormat="false" ht="15.75" hidden="false" customHeight="true" outlineLevel="0" collapsed="false">
      <c r="A203" s="23" t="s">
        <v>672</v>
      </c>
    </row>
    <row r="204" customFormat="false" ht="15.75" hidden="false" customHeight="true" outlineLevel="0" collapsed="false">
      <c r="A204" s="1" t="s">
        <v>673</v>
      </c>
      <c r="B204" s="59" t="n">
        <v>4</v>
      </c>
      <c r="C204" s="6" t="s">
        <v>674</v>
      </c>
    </row>
    <row r="205" customFormat="false" ht="15.75" hidden="false" customHeight="true" outlineLevel="0" collapsed="false">
      <c r="A205" s="1" t="s">
        <v>675</v>
      </c>
      <c r="B205" s="56" t="n">
        <v>3.79</v>
      </c>
      <c r="C205" s="6" t="s">
        <v>676</v>
      </c>
    </row>
    <row r="206" customFormat="false" ht="15.75" hidden="false" customHeight="true" outlineLevel="0" collapsed="false"/>
    <row r="207" customFormat="false" ht="15.75" hidden="false" customHeight="true" outlineLevel="0" collapsed="false">
      <c r="A207" s="23" t="s">
        <v>677</v>
      </c>
    </row>
    <row r="208" customFormat="false" ht="15.75" hidden="false" customHeight="true" outlineLevel="0" collapsed="false">
      <c r="A208" s="1" t="s">
        <v>678</v>
      </c>
      <c r="B208" s="62" t="n">
        <v>0.5</v>
      </c>
      <c r="C208" s="6" t="s">
        <v>679</v>
      </c>
    </row>
    <row r="209" customFormat="false" ht="15.75" hidden="false" customHeight="true" outlineLevel="0" collapsed="false">
      <c r="A209" s="1" t="s">
        <v>680</v>
      </c>
      <c r="B209" s="62" t="n">
        <v>30</v>
      </c>
      <c r="C209" s="6" t="s">
        <v>681</v>
      </c>
    </row>
    <row r="210" customFormat="false" ht="15.75" hidden="false" customHeight="true" outlineLevel="0" collapsed="false">
      <c r="A210" s="1" t="s">
        <v>682</v>
      </c>
      <c r="B210" s="62" t="n">
        <v>1.5</v>
      </c>
      <c r="C210" s="6" t="s">
        <v>683</v>
      </c>
    </row>
    <row r="211" customFormat="false" ht="15.75" hidden="false" customHeight="true" outlineLevel="0" collapsed="false">
      <c r="A211" s="1" t="s">
        <v>684</v>
      </c>
      <c r="B211" s="62" t="n">
        <v>115</v>
      </c>
      <c r="C211" s="6" t="s">
        <v>685</v>
      </c>
    </row>
    <row r="212" customFormat="false" ht="15.75" hidden="false" customHeight="true" outlineLevel="0" collapsed="false">
      <c r="A212" s="1" t="s">
        <v>686</v>
      </c>
      <c r="B212" s="56" t="n">
        <v>7.5</v>
      </c>
      <c r="C212" s="6" t="s">
        <v>687</v>
      </c>
    </row>
    <row r="213" customFormat="false" ht="15.75" hidden="false" customHeight="true" outlineLevel="0" collapsed="false"/>
    <row r="214" customFormat="false" ht="15.75" hidden="false" customHeight="true" outlineLevel="0" collapsed="false">
      <c r="A214" s="23"/>
    </row>
    <row r="215" customFormat="false" ht="15.75" hidden="false" customHeight="true" outlineLevel="0" collapsed="false">
      <c r="B215" s="59"/>
    </row>
    <row r="216" customFormat="false" ht="15.75" hidden="false" customHeight="true" outlineLevel="0" collapsed="false"/>
    <row r="217" customFormat="false" ht="15.75" hidden="false" customHeight="true" outlineLevel="0" collapsed="false">
      <c r="A217" s="23" t="s">
        <v>688</v>
      </c>
    </row>
    <row r="218" customFormat="false" ht="15.75" hidden="false" customHeight="true" outlineLevel="0" collapsed="false">
      <c r="A218" s="1" t="s">
        <v>689</v>
      </c>
      <c r="B218" s="59" t="n">
        <v>33.8</v>
      </c>
      <c r="C218" s="1" t="s">
        <v>690</v>
      </c>
    </row>
    <row r="219" customFormat="false" ht="15.75" hidden="false" customHeight="true" outlineLevel="0" collapsed="false">
      <c r="A219" s="1" t="s">
        <v>691</v>
      </c>
      <c r="B219" s="59" t="n">
        <v>4.99</v>
      </c>
      <c r="C219" s="1" t="s">
        <v>692</v>
      </c>
    </row>
    <row r="220" customFormat="false" ht="15.75" hidden="false" customHeight="true" outlineLevel="0" collapsed="false"/>
    <row r="221" customFormat="false" ht="15.75" hidden="false" customHeight="true" outlineLevel="0" collapsed="false">
      <c r="A221" s="23" t="s">
        <v>693</v>
      </c>
    </row>
    <row r="222" customFormat="false" ht="15.75" hidden="false" customHeight="true" outlineLevel="0" collapsed="false">
      <c r="A222" s="1" t="s">
        <v>694</v>
      </c>
      <c r="B222" s="59" t="n">
        <v>1</v>
      </c>
      <c r="C222" s="1" t="s">
        <v>695</v>
      </c>
    </row>
    <row r="223" customFormat="false" ht="15.75" hidden="false" customHeight="true" outlineLevel="0" collapsed="false">
      <c r="A223" s="1" t="s">
        <v>696</v>
      </c>
      <c r="B223" s="59" t="n">
        <v>0</v>
      </c>
      <c r="C223" s="1" t="s">
        <v>697</v>
      </c>
    </row>
    <row r="224" customFormat="false" ht="15.75" hidden="false" customHeight="true" outlineLevel="0" collapsed="false">
      <c r="A224" s="1" t="s">
        <v>698</v>
      </c>
      <c r="B224" s="59" t="n">
        <v>0.5</v>
      </c>
      <c r="C224" s="1" t="s">
        <v>699</v>
      </c>
    </row>
    <row r="225" customFormat="false" ht="15.75" hidden="false" customHeight="true" outlineLevel="0" collapsed="false"/>
    <row r="226" customFormat="false" ht="15.75" hidden="false" customHeight="true" outlineLevel="0" collapsed="false">
      <c r="A226" s="23" t="s">
        <v>700</v>
      </c>
    </row>
    <row r="227" customFormat="false" ht="15.75" hidden="false" customHeight="true" outlineLevel="0" collapsed="false">
      <c r="A227" s="1" t="s">
        <v>701</v>
      </c>
      <c r="B227" s="59" t="n">
        <v>48</v>
      </c>
      <c r="C227" s="1" t="s">
        <v>702</v>
      </c>
    </row>
    <row r="228" customFormat="false" ht="15.75" hidden="false" customHeight="true" outlineLevel="0" collapsed="false">
      <c r="A228" s="1" t="s">
        <v>703</v>
      </c>
      <c r="B228" s="59" t="n">
        <v>4.29</v>
      </c>
      <c r="C228" s="1" t="s">
        <v>704</v>
      </c>
    </row>
    <row r="229" customFormat="false" ht="15.75" hidden="false" customHeight="true" outlineLevel="0" collapsed="false"/>
    <row r="230" customFormat="false" ht="15.75" hidden="false" customHeight="true" outlineLevel="0" collapsed="false">
      <c r="A230" s="23" t="s">
        <v>705</v>
      </c>
    </row>
    <row r="231" customFormat="false" ht="15.75" hidden="false" customHeight="true" outlineLevel="0" collapsed="false">
      <c r="A231" s="1" t="s">
        <v>706</v>
      </c>
      <c r="B231" s="59" t="n">
        <v>1</v>
      </c>
      <c r="C231" s="1" t="s">
        <v>707</v>
      </c>
    </row>
    <row r="232" customFormat="false" ht="15.75" hidden="false" customHeight="true" outlineLevel="0" collapsed="false">
      <c r="A232" s="1" t="s">
        <v>708</v>
      </c>
      <c r="B232" s="59" t="n">
        <v>11</v>
      </c>
      <c r="C232" s="1" t="s">
        <v>709</v>
      </c>
    </row>
    <row r="233" customFormat="false" ht="15.75" hidden="false" customHeight="true" outlineLevel="0" collapsed="false"/>
    <row r="234" customFormat="false" ht="15.75" hidden="false" customHeight="true" outlineLevel="0" collapsed="false">
      <c r="A234" s="23" t="s">
        <v>710</v>
      </c>
    </row>
    <row r="235" customFormat="false" ht="15.75" hidden="false" customHeight="true" outlineLevel="0" collapsed="false">
      <c r="A235" s="1" t="s">
        <v>711</v>
      </c>
      <c r="B235" s="59" t="n">
        <v>33.814</v>
      </c>
      <c r="C235" s="1" t="s">
        <v>712</v>
      </c>
    </row>
    <row r="236" customFormat="false" ht="15.75" hidden="false" customHeight="true" outlineLevel="0" collapsed="false">
      <c r="A236" s="1" t="s">
        <v>713</v>
      </c>
      <c r="B236" s="59" t="n">
        <v>1.35</v>
      </c>
      <c r="C236" s="1" t="s">
        <v>714</v>
      </c>
    </row>
    <row r="237" customFormat="false" ht="15.75" hidden="false" customHeight="true" outlineLevel="0" collapsed="false">
      <c r="A237" s="1" t="s">
        <v>715</v>
      </c>
      <c r="B237" s="59" t="n">
        <v>1.5</v>
      </c>
      <c r="C237" s="1" t="s">
        <v>716</v>
      </c>
    </row>
    <row r="238" customFormat="false" ht="15.75" hidden="false" customHeight="true" outlineLevel="0" collapsed="false">
      <c r="A238" s="1" t="s">
        <v>717</v>
      </c>
      <c r="B238" s="59" t="n">
        <v>0.9</v>
      </c>
      <c r="C238" s="1" t="s">
        <v>718</v>
      </c>
    </row>
    <row r="239" customFormat="false" ht="15.75" hidden="false" customHeight="true" outlineLevel="0" collapsed="false"/>
    <row r="240" customFormat="false" ht="15.75" hidden="false" customHeight="true" outlineLevel="0" collapsed="false">
      <c r="A240" s="23" t="s">
        <v>719</v>
      </c>
    </row>
    <row r="241" customFormat="false" ht="15.75" hidden="false" customHeight="true" outlineLevel="0" collapsed="false">
      <c r="A241" s="1" t="s">
        <v>720</v>
      </c>
      <c r="B241" s="59" t="n">
        <v>33.8</v>
      </c>
      <c r="C241" s="1" t="s">
        <v>721</v>
      </c>
    </row>
    <row r="242" customFormat="false" ht="15.75" hidden="false" customHeight="true" outlineLevel="0" collapsed="false">
      <c r="A242" s="1" t="s">
        <v>722</v>
      </c>
      <c r="B242" s="59" t="n">
        <v>16.25</v>
      </c>
      <c r="C242" s="1" t="s">
        <v>723</v>
      </c>
    </row>
    <row r="243" customFormat="false" ht="15.75" hidden="false" customHeight="true" outlineLevel="0" collapsed="false"/>
    <row r="244" customFormat="false" ht="15.75" hidden="false" customHeight="true" outlineLevel="0" collapsed="false">
      <c r="A244" s="23" t="s">
        <v>724</v>
      </c>
    </row>
    <row r="245" customFormat="false" ht="15.75" hidden="false" customHeight="true" outlineLevel="0" collapsed="false">
      <c r="A245" s="1" t="s">
        <v>725</v>
      </c>
      <c r="B245" s="59" t="n">
        <v>13</v>
      </c>
      <c r="C245" s="1" t="s">
        <v>726</v>
      </c>
    </row>
    <row r="246" customFormat="false" ht="15.75" hidden="false" customHeight="true" outlineLevel="0" collapsed="false">
      <c r="A246" s="1" t="s">
        <v>727</v>
      </c>
      <c r="B246" s="59" t="n">
        <v>20</v>
      </c>
      <c r="C246" s="1" t="s">
        <v>728</v>
      </c>
    </row>
    <row r="247" customFormat="false" ht="15.75" hidden="false" customHeight="true" outlineLevel="0" collapsed="false"/>
    <row r="248" customFormat="false" ht="15.75" hidden="false" customHeight="true" outlineLevel="0" collapsed="false">
      <c r="A248" s="23" t="s">
        <v>729</v>
      </c>
    </row>
    <row r="249" customFormat="false" ht="15.75" hidden="false" customHeight="true" outlineLevel="0" collapsed="false">
      <c r="A249" s="1" t="s">
        <v>730</v>
      </c>
      <c r="B249" s="59" t="n">
        <v>33.8</v>
      </c>
      <c r="C249" s="1" t="s">
        <v>731</v>
      </c>
    </row>
    <row r="250" customFormat="false" ht="15.75" hidden="false" customHeight="true" outlineLevel="0" collapsed="false">
      <c r="A250" s="1" t="s">
        <v>732</v>
      </c>
      <c r="B250" s="59" t="n">
        <v>16.24</v>
      </c>
      <c r="C250" s="1" t="s">
        <v>733</v>
      </c>
    </row>
    <row r="251" customFormat="false" ht="15.75" hidden="false" customHeight="true" outlineLevel="0" collapsed="false"/>
    <row r="252" customFormat="false" ht="15.75" hidden="false" customHeight="true" outlineLevel="0" collapsed="false">
      <c r="A252" s="23" t="s">
        <v>734</v>
      </c>
    </row>
    <row r="253" customFormat="false" ht="15.75" hidden="false" customHeight="true" outlineLevel="0" collapsed="false">
      <c r="A253" s="1" t="s">
        <v>735</v>
      </c>
      <c r="B253" s="59" t="n">
        <v>1.5</v>
      </c>
      <c r="C253" s="1" t="s">
        <v>736</v>
      </c>
    </row>
    <row r="254" customFormat="false" ht="15.75" hidden="false" customHeight="true" outlineLevel="0" collapsed="false">
      <c r="A254" s="1" t="s">
        <v>737</v>
      </c>
      <c r="B254" s="59" t="n">
        <v>5</v>
      </c>
      <c r="C254" s="1" t="s">
        <v>738</v>
      </c>
    </row>
    <row r="255" customFormat="false" ht="15.75" hidden="false" customHeight="true" outlineLevel="0" collapsed="false">
      <c r="A255" s="1" t="s">
        <v>739</v>
      </c>
      <c r="B255" s="59" t="n">
        <v>0</v>
      </c>
      <c r="C255" s="1" t="s">
        <v>740</v>
      </c>
    </row>
    <row r="256" customFormat="false" ht="15.75" hidden="false" customHeight="true" outlineLevel="0" collapsed="false"/>
    <row r="257" customFormat="false" ht="15.75" hidden="false" customHeight="true" outlineLevel="0" collapsed="false">
      <c r="A257" s="23" t="s">
        <v>741</v>
      </c>
    </row>
    <row r="258" customFormat="false" ht="15.75" hidden="false" customHeight="true" outlineLevel="0" collapsed="false">
      <c r="A258" s="1" t="s">
        <v>742</v>
      </c>
      <c r="B258" s="59" t="n">
        <v>24</v>
      </c>
      <c r="C258" s="1" t="s">
        <v>743</v>
      </c>
    </row>
    <row r="259" customFormat="false" ht="15.75" hidden="false" customHeight="true" outlineLevel="0" collapsed="false">
      <c r="A259" s="1" t="s">
        <v>744</v>
      </c>
      <c r="B259" s="59" t="n">
        <v>12</v>
      </c>
      <c r="C259" s="1" t="s">
        <v>745</v>
      </c>
    </row>
    <row r="260" customFormat="false" ht="15.75" hidden="false" customHeight="true" outlineLevel="0" collapsed="false">
      <c r="A260" s="1" t="s">
        <v>746</v>
      </c>
      <c r="B260" s="59" t="n">
        <f aca="false">B259*(B16/B6)</f>
        <v>5.48571428571429</v>
      </c>
      <c r="C260" s="1" t="s">
        <v>747</v>
      </c>
    </row>
    <row r="261" customFormat="false" ht="15.75" hidden="false" customHeight="true" outlineLevel="0" collapsed="false"/>
    <row r="262" customFormat="false" ht="15.75" hidden="false" customHeight="true" outlineLevel="0" collapsed="false">
      <c r="A262" s="1" t="s">
        <v>748</v>
      </c>
    </row>
    <row r="263" customFormat="false" ht="15.75" hidden="false" customHeight="true" outlineLevel="0" collapsed="false">
      <c r="A263" s="1" t="s">
        <v>749</v>
      </c>
      <c r="B263" s="1" t="n">
        <v>128</v>
      </c>
      <c r="C263" s="1" t="s">
        <v>750</v>
      </c>
    </row>
    <row r="264" customFormat="false" ht="15.75" hidden="false" customHeight="true" outlineLevel="0" collapsed="false"/>
    <row r="265" customFormat="false" ht="15.75" hidden="false" customHeight="true" outlineLevel="0" collapsed="false">
      <c r="A265" s="1" t="s">
        <v>751</v>
      </c>
      <c r="B265" s="1" t="n">
        <v>21.3</v>
      </c>
      <c r="C265" s="1" t="s">
        <v>752</v>
      </c>
    </row>
    <row r="266" customFormat="false" ht="15.75" hidden="false" customHeight="true" outlineLevel="0" collapsed="false">
      <c r="A266" s="1" t="s">
        <v>753</v>
      </c>
      <c r="B266" s="1" t="n">
        <v>10</v>
      </c>
      <c r="C266" s="1" t="s">
        <v>754</v>
      </c>
    </row>
    <row r="267" customFormat="false" ht="15.75" hidden="false" customHeight="true" outlineLevel="0" collapsed="false"/>
    <row r="268" customFormat="false" ht="15.75" hidden="false" customHeight="true" outlineLevel="0" collapsed="false">
      <c r="A268" s="1" t="s">
        <v>755</v>
      </c>
      <c r="B268" s="1" t="n">
        <v>25.4</v>
      </c>
      <c r="C268" s="1" t="s">
        <v>756</v>
      </c>
    </row>
    <row r="269" customFormat="false" ht="15.75" hidden="false" customHeight="true" outlineLevel="0" collapsed="false">
      <c r="A269" s="1" t="s">
        <v>757</v>
      </c>
      <c r="B269" s="1" t="n">
        <v>10</v>
      </c>
      <c r="C269" s="1" t="s">
        <v>758</v>
      </c>
    </row>
    <row r="270" customFormat="false" ht="15.75" hidden="false" customHeight="true" outlineLevel="0" collapsed="false">
      <c r="A270" s="1" t="s">
        <v>759</v>
      </c>
      <c r="B270" s="1" t="n">
        <v>25.4</v>
      </c>
      <c r="C270" s="1" t="s">
        <v>760</v>
      </c>
    </row>
    <row r="271" customFormat="false" ht="15.75" hidden="false" customHeight="true" outlineLevel="0" collapsed="false"/>
    <row r="272" customFormat="false" ht="15.75" hidden="false" customHeight="true" outlineLevel="0" collapsed="false">
      <c r="A272" s="1" t="s">
        <v>761</v>
      </c>
    </row>
    <row r="273" customFormat="false" ht="15.75" hidden="false" customHeight="true" outlineLevel="0" collapsed="false">
      <c r="A273" s="1" t="s">
        <v>762</v>
      </c>
      <c r="B273" s="1" t="n">
        <v>10</v>
      </c>
      <c r="C273" s="1" t="s">
        <v>763</v>
      </c>
    </row>
    <row r="274" customFormat="false" ht="15.75" hidden="false" customHeight="true" outlineLevel="0" collapsed="false">
      <c r="A274" s="1" t="s">
        <v>764</v>
      </c>
      <c r="B274" s="1" t="n">
        <f aca="false">1.75*33.814</f>
        <v>59.1745</v>
      </c>
      <c r="C274" s="1" t="s">
        <v>765</v>
      </c>
    </row>
    <row r="275" customFormat="false" ht="15.75" hidden="false" customHeight="true" outlineLevel="0" collapsed="false">
      <c r="A275" s="1" t="s">
        <v>766</v>
      </c>
      <c r="B275" s="1" t="n">
        <v>24</v>
      </c>
      <c r="C275" s="1" t="s">
        <v>767</v>
      </c>
    </row>
    <row r="276" customFormat="false" ht="15.75" hidden="false" customHeight="true" outlineLevel="0" collapsed="false">
      <c r="A276" s="1" t="s">
        <v>768</v>
      </c>
      <c r="B276" s="1" t="n">
        <f aca="false">B273*B274</f>
        <v>591.745</v>
      </c>
    </row>
    <row r="277" customFormat="false" ht="15.75" hidden="false" customHeight="true" outlineLevel="0" collapsed="false">
      <c r="A277" s="1" t="s">
        <v>769</v>
      </c>
      <c r="B277" s="1" t="n">
        <v>1</v>
      </c>
      <c r="C277" s="1" t="s">
        <v>770</v>
      </c>
    </row>
    <row r="278" customFormat="false" ht="15.75" hidden="false" customHeight="true" outlineLevel="0" collapsed="false">
      <c r="A278" s="1" t="s">
        <v>771</v>
      </c>
      <c r="B278" s="1" t="n">
        <f aca="false">FLOOR(B276/(B277*B40),1)</f>
        <v>394</v>
      </c>
      <c r="C278" s="1" t="s">
        <v>772</v>
      </c>
    </row>
    <row r="279" customFormat="false" ht="15.75" hidden="false" customHeight="true" outlineLevel="0" collapsed="false">
      <c r="A279" s="1" t="s">
        <v>773</v>
      </c>
      <c r="B279" s="1" t="n">
        <v>0.25</v>
      </c>
    </row>
    <row r="280" customFormat="false" ht="15.75" hidden="false" customHeight="true" outlineLevel="0" collapsed="false">
      <c r="A280" s="1" t="s">
        <v>774</v>
      </c>
      <c r="B280" s="1" t="n">
        <v>0.25</v>
      </c>
    </row>
    <row r="281" customFormat="false" ht="15.75" hidden="false" customHeight="true" outlineLevel="0" collapsed="false">
      <c r="A281" s="1" t="s">
        <v>775</v>
      </c>
      <c r="B281" s="1" t="n">
        <v>0.25</v>
      </c>
    </row>
    <row r="282" customFormat="false" ht="15.75" hidden="false" customHeight="true" outlineLevel="0" collapsed="false">
      <c r="A282" s="1" t="s">
        <v>776</v>
      </c>
      <c r="B282" s="1" t="n">
        <v>0.1</v>
      </c>
    </row>
    <row r="283" customFormat="false" ht="15.75" hidden="false" customHeight="true" outlineLevel="0" collapsed="false">
      <c r="A283" s="1" t="s">
        <v>777</v>
      </c>
      <c r="B283" s="1" t="n">
        <v>0.1</v>
      </c>
    </row>
    <row r="284" customFormat="false" ht="15.75" hidden="false" customHeight="true" outlineLevel="0" collapsed="false">
      <c r="A284" s="1" t="s">
        <v>778</v>
      </c>
      <c r="B284" s="1" t="n">
        <v>0.05</v>
      </c>
      <c r="C284" s="1" t="s">
        <v>779</v>
      </c>
    </row>
    <row r="285" customFormat="false" ht="15.75" hidden="false" customHeight="true" outlineLevel="0" collapsed="false">
      <c r="A285" s="1" t="s">
        <v>780</v>
      </c>
      <c r="B285" s="1" t="n">
        <f aca="false">SUM(B279:B284)</f>
        <v>1</v>
      </c>
    </row>
    <row r="286" customFormat="false" ht="15.75" hidden="false" customHeight="true" outlineLevel="0" collapsed="false">
      <c r="A286" s="1" t="s">
        <v>781</v>
      </c>
      <c r="B286" s="1" t="n">
        <f aca="false">ROUND($B$278*B279,0)</f>
        <v>99</v>
      </c>
    </row>
    <row r="287" customFormat="false" ht="15.75" hidden="false" customHeight="true" outlineLevel="0" collapsed="false">
      <c r="A287" s="1" t="s">
        <v>782</v>
      </c>
      <c r="B287" s="1" t="n">
        <f aca="false">ROUND($B$278*B280,0)</f>
        <v>99</v>
      </c>
    </row>
    <row r="288" customFormat="false" ht="15.75" hidden="false" customHeight="true" outlineLevel="0" collapsed="false">
      <c r="A288" s="1" t="s">
        <v>783</v>
      </c>
      <c r="B288" s="1" t="n">
        <f aca="false">ROUND($B$278*B281,0)</f>
        <v>99</v>
      </c>
    </row>
    <row r="289" customFormat="false" ht="15.75" hidden="false" customHeight="true" outlineLevel="0" collapsed="false">
      <c r="A289" s="1" t="s">
        <v>784</v>
      </c>
      <c r="B289" s="1" t="n">
        <f aca="false">ROUND($B$278*B282,0)</f>
        <v>39</v>
      </c>
    </row>
    <row r="290" customFormat="false" ht="15.75" hidden="false" customHeight="true" outlineLevel="0" collapsed="false">
      <c r="A290" s="1" t="s">
        <v>785</v>
      </c>
      <c r="B290" s="1" t="n">
        <f aca="false">ROUND($B$278*B283,0)</f>
        <v>39</v>
      </c>
    </row>
    <row r="291" customFormat="false" ht="15.75" hidden="false" customHeight="true" outlineLevel="0" collapsed="false">
      <c r="A291" s="1" t="s">
        <v>786</v>
      </c>
      <c r="B291" s="1" t="n">
        <f aca="false">ROUND($B$278*B284,0)</f>
        <v>20</v>
      </c>
    </row>
    <row r="292" customFormat="false" ht="15.75" hidden="false" customHeight="true" outlineLevel="0" collapsed="false">
      <c r="A292" s="1" t="s">
        <v>787</v>
      </c>
      <c r="C292" s="1" t="s">
        <v>788</v>
      </c>
    </row>
    <row r="293" customFormat="false" ht="15.75" hidden="false" customHeight="true" outlineLevel="0" collapsed="false">
      <c r="A293" s="1" t="s">
        <v>789</v>
      </c>
      <c r="B293" s="1" t="n">
        <v>4</v>
      </c>
      <c r="C293" s="1" t="s">
        <v>790</v>
      </c>
    </row>
    <row r="294" customFormat="false" ht="15.75" hidden="false" customHeight="true" outlineLevel="0" collapsed="false">
      <c r="A294" s="1" t="s">
        <v>791</v>
      </c>
      <c r="B294" s="1" t="n">
        <v>4</v>
      </c>
      <c r="C294" s="1" t="s">
        <v>792</v>
      </c>
    </row>
    <row r="295" customFormat="false" ht="15.75" hidden="false" customHeight="true" outlineLevel="0" collapsed="false">
      <c r="A295" s="1" t="s">
        <v>793</v>
      </c>
      <c r="B295" s="1" t="n">
        <v>64</v>
      </c>
      <c r="C295" s="1" t="s">
        <v>794</v>
      </c>
    </row>
    <row r="296" customFormat="false" ht="15.75" hidden="false" customHeight="true" outlineLevel="0" collapsed="false">
      <c r="A296" s="1" t="s">
        <v>795</v>
      </c>
      <c r="B296" s="1" t="n">
        <v>5</v>
      </c>
      <c r="C296" s="1" t="s">
        <v>796</v>
      </c>
    </row>
    <row r="297" customFormat="false" ht="15.75" hidden="false" customHeight="true" outlineLevel="0" collapsed="false">
      <c r="A297" s="1" t="s">
        <v>797</v>
      </c>
      <c r="B297" s="1" t="n">
        <f aca="false">B287*B293</f>
        <v>396</v>
      </c>
    </row>
    <row r="298" customFormat="false" ht="15.75" hidden="false" customHeight="true" outlineLevel="0" collapsed="false">
      <c r="A298" s="1" t="s">
        <v>798</v>
      </c>
      <c r="B298" s="1" t="n">
        <f aca="false">B288*B294</f>
        <v>396</v>
      </c>
    </row>
    <row r="299" customFormat="false" ht="15.75" hidden="false" customHeight="true" outlineLevel="0" collapsed="false">
      <c r="A299" s="1" t="s">
        <v>799</v>
      </c>
      <c r="B299" s="1" t="n">
        <v>4</v>
      </c>
      <c r="C299" s="1" t="s">
        <v>800</v>
      </c>
    </row>
    <row r="300" customFormat="false" ht="15.75" hidden="false" customHeight="true" outlineLevel="0" collapsed="false">
      <c r="A300" s="1" t="s">
        <v>801</v>
      </c>
      <c r="B300" s="1" t="n">
        <f aca="false">B290*B299</f>
        <v>156</v>
      </c>
      <c r="C300" s="1" t="s">
        <v>802</v>
      </c>
    </row>
    <row r="301" customFormat="false" ht="15.75" hidden="false" customHeight="true" outlineLevel="0" collapsed="false">
      <c r="A301" s="1" t="s">
        <v>803</v>
      </c>
      <c r="B301" s="1" t="n">
        <v>4</v>
      </c>
    </row>
    <row r="302" customFormat="false" ht="15.75" hidden="false" customHeight="true" outlineLevel="0" collapsed="false">
      <c r="A302" s="1" t="s">
        <v>804</v>
      </c>
      <c r="B302" s="1" t="n">
        <f aca="false">B289*B301</f>
        <v>156</v>
      </c>
    </row>
    <row r="303" customFormat="false" ht="15.75" hidden="false" customHeight="true" outlineLevel="0" collapsed="false">
      <c r="A303" s="1" t="s">
        <v>805</v>
      </c>
      <c r="B303" s="1" t="n">
        <v>8.4</v>
      </c>
    </row>
    <row r="304" customFormat="false" ht="15.75" hidden="false" customHeight="true" outlineLevel="0" collapsed="false">
      <c r="A304" s="1" t="s">
        <v>806</v>
      </c>
      <c r="B304" s="1" t="n">
        <f aca="false">CEILING(B302*(1+B5)/B303,1)</f>
        <v>22</v>
      </c>
    </row>
    <row r="305" customFormat="false" ht="15.75" hidden="false" customHeight="true" outlineLevel="0" collapsed="false">
      <c r="A305" s="1" t="s">
        <v>807</v>
      </c>
      <c r="B305" s="1" t="n">
        <f aca="false">CEILING(B304/24,1)</f>
        <v>1</v>
      </c>
      <c r="C305" s="1" t="s">
        <v>808</v>
      </c>
    </row>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D1"/>
    <mergeCell ref="A2:D2"/>
    <mergeCell ref="A3:D3"/>
    <mergeCell ref="A15:D15"/>
    <mergeCell ref="A31:D31"/>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3B0"/>
    <pageSetUpPr fitToPage="false"/>
  </sheetPr>
  <dimension ref="A1:G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5" zeroHeight="false" outlineLevelRow="0" outlineLevelCol="0"/>
  <cols>
    <col collapsed="false" customWidth="true" hidden="false" outlineLevel="0" max="1" min="1" style="1" width="40"/>
    <col collapsed="false" customWidth="true" hidden="false" outlineLevel="0" max="2" min="2" style="1" width="15"/>
    <col collapsed="false" customWidth="true" hidden="false" outlineLevel="0" max="5" min="3" style="1" width="11"/>
    <col collapsed="false" customWidth="true" hidden="false" outlineLevel="0" max="6" min="6" style="1" width="15"/>
    <col collapsed="false" customWidth="true" hidden="false" outlineLevel="0" max="7" min="7" style="1" width="78"/>
  </cols>
  <sheetData>
    <row r="1" customFormat="false" ht="17.25" hidden="false" customHeight="true" outlineLevel="0" collapsed="false">
      <c r="A1" s="2" t="s">
        <v>809</v>
      </c>
      <c r="B1" s="3"/>
      <c r="C1" s="3"/>
      <c r="D1" s="3"/>
      <c r="E1" s="3"/>
      <c r="F1" s="3"/>
      <c r="G1" s="3"/>
    </row>
    <row r="3" customFormat="false" ht="45.75" hidden="false" customHeight="true" outlineLevel="0" collapsed="false">
      <c r="A3" s="4" t="s">
        <v>810</v>
      </c>
      <c r="B3" s="4"/>
      <c r="C3" s="4"/>
      <c r="D3" s="4"/>
      <c r="E3" s="4"/>
      <c r="F3" s="4"/>
      <c r="G3" s="4"/>
    </row>
    <row r="5" customFormat="false" ht="15" hidden="false" customHeight="true" outlineLevel="0" collapsed="false">
      <c r="A5" s="5" t="s">
        <v>811</v>
      </c>
    </row>
    <row r="6" customFormat="false" ht="15" hidden="false" customHeight="true" outlineLevel="0" collapsed="false">
      <c r="A6" s="27" t="s">
        <v>812</v>
      </c>
      <c r="B6" s="27" t="s">
        <v>813</v>
      </c>
      <c r="C6" s="27" t="s">
        <v>814</v>
      </c>
      <c r="D6" s="27" t="s">
        <v>815</v>
      </c>
      <c r="E6" s="27" t="s">
        <v>816</v>
      </c>
      <c r="F6" s="27" t="s">
        <v>297</v>
      </c>
      <c r="G6" s="27" t="s">
        <v>817</v>
      </c>
    </row>
    <row r="7" customFormat="false" ht="33.75" hidden="false" customHeight="true" outlineLevel="0" collapsed="false">
      <c r="A7" s="23" t="s">
        <v>367</v>
      </c>
      <c r="B7" s="63" t="s">
        <v>818</v>
      </c>
      <c r="C7" s="63" t="n">
        <v>24</v>
      </c>
      <c r="D7" s="23" t="n">
        <f aca="false">Assumptions!B6</f>
        <v>35</v>
      </c>
      <c r="E7" s="63" t="n">
        <f aca="false">D7-C7</f>
        <v>11</v>
      </c>
      <c r="F7" s="63" t="s">
        <v>819</v>
      </c>
      <c r="G7" s="6" t="s">
        <v>820</v>
      </c>
    </row>
    <row r="8" customFormat="false" ht="33.75" hidden="false" customHeight="true" outlineLevel="0" collapsed="false">
      <c r="A8" s="23" t="s">
        <v>821</v>
      </c>
      <c r="B8" s="63" t="s">
        <v>822</v>
      </c>
      <c r="C8" s="64" t="n">
        <v>25</v>
      </c>
      <c r="D8" s="65" t="n">
        <f aca="false">Assumptions!B16</f>
        <v>16</v>
      </c>
      <c r="E8" s="64" t="n">
        <f aca="false">D8-C8</f>
        <v>-9</v>
      </c>
      <c r="F8" s="63" t="s">
        <v>823</v>
      </c>
      <c r="G8" s="6" t="s">
        <v>824</v>
      </c>
    </row>
    <row r="9" customFormat="false" ht="33.75" hidden="false" customHeight="true" outlineLevel="0" collapsed="false">
      <c r="A9" s="23" t="s">
        <v>825</v>
      </c>
      <c r="B9" s="63" t="s">
        <v>826</v>
      </c>
      <c r="C9" s="64" t="n">
        <v>18</v>
      </c>
      <c r="D9" s="65" t="n">
        <f aca="false">Assumptions!B22</f>
        <v>13</v>
      </c>
      <c r="E9" s="64" t="n">
        <f aca="false">D9-C9</f>
        <v>-5</v>
      </c>
      <c r="F9" s="63" t="s">
        <v>823</v>
      </c>
      <c r="G9" s="6" t="s">
        <v>827</v>
      </c>
    </row>
    <row r="10" customFormat="false" ht="33.75" hidden="false" customHeight="true" outlineLevel="0" collapsed="false">
      <c r="A10" s="23" t="s">
        <v>828</v>
      </c>
      <c r="B10" s="63" t="s">
        <v>829</v>
      </c>
      <c r="C10" s="64" t="n">
        <v>9</v>
      </c>
      <c r="D10" s="65" t="n">
        <f aca="false">Assumptions!B19</f>
        <v>8</v>
      </c>
      <c r="E10" s="64" t="n">
        <f aca="false">D10-C10</f>
        <v>-1</v>
      </c>
      <c r="F10" s="63" t="s">
        <v>830</v>
      </c>
      <c r="G10" s="6" t="s">
        <v>831</v>
      </c>
    </row>
    <row r="11" customFormat="false" ht="33.75" hidden="false" customHeight="true" outlineLevel="0" collapsed="false">
      <c r="A11" s="23" t="s">
        <v>832</v>
      </c>
      <c r="B11" s="63" t="s">
        <v>833</v>
      </c>
      <c r="C11" s="63" t="n">
        <v>22</v>
      </c>
      <c r="D11" s="23" t="n">
        <f aca="false">Assumptions!B9</f>
        <v>16.9</v>
      </c>
      <c r="E11" s="63" t="n">
        <f aca="false">D11-C11</f>
        <v>-5.1</v>
      </c>
      <c r="F11" s="63" t="s">
        <v>834</v>
      </c>
      <c r="G11" s="6" t="s">
        <v>835</v>
      </c>
    </row>
    <row r="12" customFormat="false" ht="33.75" hidden="false" customHeight="true" outlineLevel="0" collapsed="false">
      <c r="A12" s="23" t="s">
        <v>390</v>
      </c>
      <c r="B12" s="63" t="s">
        <v>836</v>
      </c>
      <c r="C12" s="64" t="n">
        <v>7</v>
      </c>
      <c r="D12" s="65" t="n">
        <f aca="false">Assumptions!B20</f>
        <v>3.98</v>
      </c>
      <c r="E12" s="64" t="n">
        <f aca="false">D12-C12</f>
        <v>-3.02</v>
      </c>
      <c r="F12" s="63" t="s">
        <v>837</v>
      </c>
      <c r="G12" s="6" t="s">
        <v>838</v>
      </c>
    </row>
    <row r="13" customFormat="false" ht="33.75" hidden="false" customHeight="true" outlineLevel="0" collapsed="false">
      <c r="A13" s="23" t="s">
        <v>502</v>
      </c>
      <c r="B13" s="63" t="s">
        <v>839</v>
      </c>
      <c r="C13" s="63" t="n">
        <v>22</v>
      </c>
      <c r="D13" s="23" t="n">
        <f aca="false">Assumptions!B91</f>
        <v>16.9</v>
      </c>
      <c r="E13" s="63" t="n">
        <f aca="false">D13-C13</f>
        <v>-5.1</v>
      </c>
      <c r="F13" s="63" t="s">
        <v>834</v>
      </c>
      <c r="G13" s="6" t="s">
        <v>840</v>
      </c>
    </row>
    <row r="14" customFormat="false" ht="33.75" hidden="false" customHeight="true" outlineLevel="0" collapsed="false">
      <c r="A14" s="23" t="s">
        <v>503</v>
      </c>
      <c r="B14" s="63" t="s">
        <v>841</v>
      </c>
      <c r="C14" s="64" t="n">
        <v>12</v>
      </c>
      <c r="D14" s="65" t="n">
        <f aca="false">Assumptions!B92</f>
        <v>6.5</v>
      </c>
      <c r="E14" s="64" t="n">
        <f aca="false">D14-C14</f>
        <v>-5.5</v>
      </c>
      <c r="F14" s="63" t="s">
        <v>842</v>
      </c>
      <c r="G14" s="6" t="s">
        <v>843</v>
      </c>
    </row>
    <row r="15" customFormat="false" ht="33.75" hidden="false" customHeight="true" outlineLevel="0" collapsed="false">
      <c r="A15" s="23" t="s">
        <v>505</v>
      </c>
      <c r="B15" s="63" t="s">
        <v>844</v>
      </c>
      <c r="C15" s="64" t="n">
        <v>10</v>
      </c>
      <c r="D15" s="65" t="n">
        <f aca="false">Assumptions!B93</f>
        <v>7.25</v>
      </c>
      <c r="E15" s="64" t="n">
        <f aca="false">D15-C15</f>
        <v>-2.75</v>
      </c>
      <c r="F15" s="63" t="s">
        <v>842</v>
      </c>
      <c r="G15" s="6" t="s">
        <v>845</v>
      </c>
    </row>
    <row r="16" customFormat="false" ht="33.75" hidden="false" customHeight="true" outlineLevel="0" collapsed="false">
      <c r="A16" s="23" t="s">
        <v>846</v>
      </c>
      <c r="B16" s="63" t="s">
        <v>847</v>
      </c>
      <c r="C16" s="64" t="n">
        <v>5</v>
      </c>
      <c r="D16" s="65" t="n">
        <f aca="false">Assumptions!B70</f>
        <v>7.49</v>
      </c>
      <c r="E16" s="64" t="n">
        <f aca="false">D16-C16</f>
        <v>2.49</v>
      </c>
      <c r="F16" s="63" t="s">
        <v>848</v>
      </c>
      <c r="G16" s="6" t="s">
        <v>849</v>
      </c>
    </row>
    <row r="17" customFormat="false" ht="33.75" hidden="false" customHeight="true" outlineLevel="0" collapsed="false">
      <c r="A17" s="23" t="s">
        <v>850</v>
      </c>
      <c r="B17" s="63" t="s">
        <v>851</v>
      </c>
      <c r="C17" s="64" t="n">
        <v>4</v>
      </c>
      <c r="D17" s="65" t="n">
        <f aca="false">Assumptions!B72</f>
        <v>13.99</v>
      </c>
      <c r="E17" s="64" t="n">
        <f aca="false">D17-C17</f>
        <v>9.99</v>
      </c>
      <c r="F17" s="63" t="s">
        <v>852</v>
      </c>
      <c r="G17" s="6" t="s">
        <v>853</v>
      </c>
    </row>
    <row r="18" customFormat="false" ht="33.75" hidden="false" customHeight="true" outlineLevel="0" collapsed="false">
      <c r="A18" s="23" t="s">
        <v>854</v>
      </c>
      <c r="B18" s="63" t="s">
        <v>855</v>
      </c>
      <c r="C18" s="64" t="n">
        <v>5</v>
      </c>
      <c r="D18" s="65" t="n">
        <f aca="false">Assumptions!B104</f>
        <v>3.25</v>
      </c>
      <c r="E18" s="64" t="n">
        <f aca="false">D18-C18</f>
        <v>-1.75</v>
      </c>
      <c r="F18" s="63" t="s">
        <v>856</v>
      </c>
      <c r="G18" s="6" t="s">
        <v>857</v>
      </c>
    </row>
    <row r="19" customFormat="false" ht="33.75" hidden="false" customHeight="true" outlineLevel="0" collapsed="false">
      <c r="A19" s="23" t="s">
        <v>482</v>
      </c>
      <c r="B19" s="63" t="s">
        <v>858</v>
      </c>
      <c r="C19" s="64" t="n">
        <v>8</v>
      </c>
      <c r="D19" s="65" t="n">
        <f aca="false">Assumptions!B80</f>
        <v>9.99</v>
      </c>
      <c r="E19" s="64" t="n">
        <f aca="false">D19-C19</f>
        <v>1.99</v>
      </c>
      <c r="F19" s="63" t="s">
        <v>859</v>
      </c>
      <c r="G19" s="6" t="s">
        <v>860</v>
      </c>
    </row>
    <row r="20" customFormat="false" ht="33.75" hidden="false" customHeight="true" outlineLevel="0" collapsed="false">
      <c r="A20" s="23" t="s">
        <v>516</v>
      </c>
      <c r="B20" s="63" t="s">
        <v>861</v>
      </c>
      <c r="C20" s="64" t="n">
        <v>0.6</v>
      </c>
      <c r="D20" s="65" t="n">
        <f aca="false">Assumptions!B100</f>
        <v>0.29</v>
      </c>
      <c r="E20" s="64" t="n">
        <f aca="false">D20-C20</f>
        <v>-0.31</v>
      </c>
      <c r="F20" s="63" t="s">
        <v>862</v>
      </c>
      <c r="G20" s="6" t="s">
        <v>863</v>
      </c>
    </row>
    <row r="21" customFormat="false" ht="33.75" hidden="false" customHeight="true" outlineLevel="0" collapsed="false">
      <c r="A21" s="23" t="s">
        <v>535</v>
      </c>
      <c r="B21" s="63" t="s">
        <v>864</v>
      </c>
      <c r="C21" s="64" t="n">
        <v>0.35</v>
      </c>
      <c r="D21" s="65" t="n">
        <f aca="false">Assumptions!B112</f>
        <v>0.32</v>
      </c>
      <c r="E21" s="64" t="n">
        <f aca="false">D21-C21</f>
        <v>-0.03</v>
      </c>
      <c r="F21" s="63" t="s">
        <v>862</v>
      </c>
      <c r="G21" s="6" t="s">
        <v>865</v>
      </c>
    </row>
    <row r="22" customFormat="false" ht="33.75" hidden="false" customHeight="true" outlineLevel="0" collapsed="false">
      <c r="A22" s="23" t="s">
        <v>566</v>
      </c>
      <c r="B22" s="63" t="s">
        <v>866</v>
      </c>
      <c r="C22" s="63" t="n">
        <v>23.5</v>
      </c>
      <c r="D22" s="23" t="n">
        <f aca="false">Assumptions!B132</f>
        <v>36</v>
      </c>
      <c r="E22" s="63" t="n">
        <f aca="false">D22-C22</f>
        <v>12.5</v>
      </c>
      <c r="F22" s="63" t="s">
        <v>834</v>
      </c>
      <c r="G22" s="6" t="s">
        <v>867</v>
      </c>
    </row>
    <row r="23" customFormat="false" ht="33.75" hidden="false" customHeight="true" outlineLevel="0" collapsed="false">
      <c r="A23" s="23" t="s">
        <v>868</v>
      </c>
      <c r="B23" s="63" t="s">
        <v>869</v>
      </c>
      <c r="C23" s="64" t="n">
        <v>9</v>
      </c>
      <c r="D23" s="65" t="n">
        <f aca="false">Assumptions!B133</f>
        <v>4.75</v>
      </c>
      <c r="E23" s="64" t="n">
        <f aca="false">D23-C23</f>
        <v>-4.25</v>
      </c>
      <c r="F23" s="63" t="s">
        <v>870</v>
      </c>
      <c r="G23" s="6" t="s">
        <v>871</v>
      </c>
    </row>
    <row r="25" customFormat="false" ht="15" hidden="false" customHeight="true" outlineLevel="0" collapsed="false">
      <c r="A25" s="5" t="s">
        <v>872</v>
      </c>
    </row>
    <row r="26" customFormat="false" ht="30" hidden="false" customHeight="true" outlineLevel="0" collapsed="false">
      <c r="A26" s="27" t="s">
        <v>873</v>
      </c>
      <c r="B26" s="27" t="s">
        <v>874</v>
      </c>
      <c r="C26" s="27" t="s">
        <v>875</v>
      </c>
      <c r="D26" s="27" t="s">
        <v>876</v>
      </c>
      <c r="E26" s="27" t="s">
        <v>877</v>
      </c>
      <c r="F26" s="27"/>
      <c r="G26" s="27" t="s">
        <v>216</v>
      </c>
    </row>
    <row r="27" customFormat="false" ht="33.75" hidden="false" customHeight="true" outlineLevel="0" collapsed="false">
      <c r="A27" s="23" t="s">
        <v>878</v>
      </c>
      <c r="B27" s="66" t="n">
        <v>0.5455</v>
      </c>
      <c r="C27" s="67" t="n">
        <f aca="false">'Other Consumables'!D17*Assumptions!$B$91</f>
        <v>84.5</v>
      </c>
      <c r="D27" s="68" t="n">
        <f aca="false">B27*C27</f>
        <v>46.09475</v>
      </c>
      <c r="E27" s="69" t="n">
        <f aca="false">D27-$D$27</f>
        <v>0</v>
      </c>
      <c r="G27" s="6" t="s">
        <v>879</v>
      </c>
    </row>
    <row r="28" customFormat="false" ht="45.75" hidden="false" customHeight="true" outlineLevel="0" collapsed="false">
      <c r="A28" s="23" t="s">
        <v>880</v>
      </c>
      <c r="B28" s="66" t="n">
        <v>0.385</v>
      </c>
      <c r="C28" s="67" t="n">
        <f aca="false">'Other Consumables'!D17*Assumptions!$B$91</f>
        <v>84.5</v>
      </c>
      <c r="D28" s="68" t="n">
        <f aca="false">B28*C28</f>
        <v>32.5325</v>
      </c>
      <c r="E28" s="69" t="n">
        <f aca="false">D28-$D$27</f>
        <v>-13.56225</v>
      </c>
      <c r="G28" s="6" t="s">
        <v>881</v>
      </c>
    </row>
    <row r="29" customFormat="false" ht="45.75" hidden="false" customHeight="true" outlineLevel="0" collapsed="false">
      <c r="A29" s="23" t="s">
        <v>882</v>
      </c>
      <c r="B29" s="66"/>
      <c r="C29" s="67"/>
      <c r="D29" s="68"/>
      <c r="E29" s="69"/>
      <c r="G29" s="6" t="s">
        <v>883</v>
      </c>
    </row>
    <row r="31" customFormat="false" ht="15" hidden="false" customHeight="true" outlineLevel="0" collapsed="false">
      <c r="A31" s="5" t="s">
        <v>884</v>
      </c>
    </row>
    <row r="32" customFormat="false" ht="15" hidden="false" customHeight="true" outlineLevel="0" collapsed="false">
      <c r="A32" s="27" t="s">
        <v>812</v>
      </c>
      <c r="B32" s="27" t="s">
        <v>813</v>
      </c>
      <c r="C32" s="27" t="s">
        <v>885</v>
      </c>
      <c r="D32" s="27"/>
      <c r="E32" s="27"/>
      <c r="F32" s="27"/>
      <c r="G32" s="27" t="s">
        <v>886</v>
      </c>
    </row>
    <row r="33" customFormat="false" ht="33.75" hidden="false" customHeight="true" outlineLevel="0" collapsed="false">
      <c r="A33" s="23" t="s">
        <v>887</v>
      </c>
      <c r="B33" s="63" t="s">
        <v>888</v>
      </c>
      <c r="C33" s="64" t="n">
        <v>12</v>
      </c>
      <c r="G33" s="6" t="s">
        <v>889</v>
      </c>
    </row>
    <row r="34" customFormat="false" ht="33.75" hidden="false" customHeight="true" outlineLevel="0" collapsed="false">
      <c r="A34" s="23" t="s">
        <v>890</v>
      </c>
      <c r="B34" s="63" t="s">
        <v>891</v>
      </c>
      <c r="C34" s="64" t="n">
        <v>4.5</v>
      </c>
      <c r="G34" s="6" t="s">
        <v>892</v>
      </c>
    </row>
    <row r="35" customFormat="false" ht="33.75" hidden="false" customHeight="true" outlineLevel="0" collapsed="false">
      <c r="A35" s="23" t="s">
        <v>893</v>
      </c>
      <c r="B35" s="63" t="s">
        <v>894</v>
      </c>
      <c r="C35" s="64" t="n">
        <v>4</v>
      </c>
      <c r="G35" s="6" t="s">
        <v>895</v>
      </c>
    </row>
    <row r="36" customFormat="false" ht="33.75" hidden="false" customHeight="true" outlineLevel="0" collapsed="false">
      <c r="A36" s="23" t="s">
        <v>896</v>
      </c>
      <c r="B36" s="63" t="s">
        <v>897</v>
      </c>
      <c r="C36" s="64" t="n">
        <v>20</v>
      </c>
      <c r="G36" s="6" t="s">
        <v>898</v>
      </c>
    </row>
    <row r="37" customFormat="false" ht="33.75" hidden="false" customHeight="true" outlineLevel="0" collapsed="false">
      <c r="A37" s="23" t="s">
        <v>899</v>
      </c>
      <c r="B37" s="63" t="s">
        <v>900</v>
      </c>
      <c r="G37" s="6" t="s">
        <v>901</v>
      </c>
    </row>
    <row r="38" customFormat="false" ht="33.75" hidden="false" customHeight="true" outlineLevel="0" collapsed="false">
      <c r="A38" s="23" t="s">
        <v>902</v>
      </c>
      <c r="B38" s="63" t="s">
        <v>903</v>
      </c>
      <c r="C38" s="64" t="n">
        <v>1.25</v>
      </c>
      <c r="G38" s="6" t="s">
        <v>904</v>
      </c>
    </row>
    <row r="39" customFormat="false" ht="33.75" hidden="false" customHeight="true" outlineLevel="0" collapsed="false">
      <c r="A39" s="23" t="s">
        <v>905</v>
      </c>
      <c r="B39" s="63" t="s">
        <v>906</v>
      </c>
      <c r="G39" s="6" t="s">
        <v>907</v>
      </c>
    </row>
    <row r="41" customFormat="false" ht="15" hidden="false" customHeight="true" outlineLevel="0" collapsed="false">
      <c r="A41" s="5" t="s">
        <v>908</v>
      </c>
    </row>
    <row r="42" customFormat="false" ht="15" hidden="false" customHeight="true" outlineLevel="0" collapsed="false">
      <c r="A42" s="1" t="s">
        <v>909</v>
      </c>
    </row>
    <row r="44" customFormat="false" ht="15" hidden="false" customHeight="true" outlineLevel="0" collapsed="false">
      <c r="A44" s="27" t="s">
        <v>340</v>
      </c>
      <c r="B44" s="27" t="s">
        <v>910</v>
      </c>
      <c r="C44" s="27" t="s">
        <v>814</v>
      </c>
      <c r="D44" s="27" t="s">
        <v>815</v>
      </c>
      <c r="E44" s="27" t="s">
        <v>911</v>
      </c>
      <c r="F44" s="27" t="s">
        <v>912</v>
      </c>
      <c r="G44" s="27" t="s">
        <v>817</v>
      </c>
    </row>
    <row r="45" customFormat="false" ht="15" hidden="false" customHeight="true" outlineLevel="0" collapsed="false">
      <c r="A45" s="23" t="s">
        <v>913</v>
      </c>
      <c r="B45" s="63" t="s">
        <v>914</v>
      </c>
      <c r="C45" s="63" t="n">
        <v>7</v>
      </c>
      <c r="D45" s="23" t="n">
        <v>4.15</v>
      </c>
      <c r="E45" s="63" t="s">
        <v>915</v>
      </c>
      <c r="F45" s="63" t="s">
        <v>916</v>
      </c>
      <c r="G45" s="6" t="s">
        <v>917</v>
      </c>
    </row>
    <row r="46" customFormat="false" ht="15" hidden="false" customHeight="true" outlineLevel="0" collapsed="false">
      <c r="A46" s="23" t="s">
        <v>918</v>
      </c>
      <c r="B46" s="63" t="s">
        <v>919</v>
      </c>
      <c r="C46" s="63" t="s">
        <v>920</v>
      </c>
      <c r="D46" s="23" t="s">
        <v>921</v>
      </c>
      <c r="E46" s="63" t="s">
        <v>922</v>
      </c>
      <c r="F46" s="63" t="s">
        <v>916</v>
      </c>
      <c r="G46" s="6" t="s">
        <v>923</v>
      </c>
    </row>
    <row r="47" customFormat="false" ht="15" hidden="false" customHeight="true" outlineLevel="0" collapsed="false">
      <c r="A47" s="23" t="s">
        <v>924</v>
      </c>
      <c r="B47" s="63" t="s">
        <v>925</v>
      </c>
      <c r="C47" s="63" t="n">
        <v>72.99</v>
      </c>
      <c r="D47" s="23" t="n">
        <v>72.99</v>
      </c>
      <c r="E47" s="63" t="s">
        <v>926</v>
      </c>
      <c r="F47" s="63" t="s">
        <v>916</v>
      </c>
      <c r="G47" s="6" t="s">
        <v>927</v>
      </c>
    </row>
    <row r="48" customFormat="false" ht="15" hidden="false" customHeight="true" outlineLevel="0" collapsed="false">
      <c r="A48" s="23" t="s">
        <v>38</v>
      </c>
      <c r="B48" s="63" t="s">
        <v>841</v>
      </c>
      <c r="C48" s="63" t="n">
        <v>12.84</v>
      </c>
      <c r="D48" s="23" t="n">
        <v>6.5</v>
      </c>
      <c r="E48" s="63" t="s">
        <v>928</v>
      </c>
      <c r="F48" s="63" t="s">
        <v>916</v>
      </c>
      <c r="G48" s="6" t="s">
        <v>929</v>
      </c>
    </row>
    <row r="49" customFormat="false" ht="15" hidden="false" customHeight="true" outlineLevel="0" collapsed="false">
      <c r="A49" s="23" t="s">
        <v>930</v>
      </c>
      <c r="B49" s="63" t="s">
        <v>844</v>
      </c>
      <c r="C49" s="63" t="n">
        <v>12</v>
      </c>
      <c r="D49" s="23" t="n">
        <v>7.25</v>
      </c>
      <c r="E49" s="63" t="s">
        <v>931</v>
      </c>
      <c r="F49" s="63" t="s">
        <v>916</v>
      </c>
      <c r="G49" s="6" t="s">
        <v>932</v>
      </c>
    </row>
    <row r="50" customFormat="false" ht="15" hidden="false" customHeight="true" outlineLevel="0" collapsed="false">
      <c r="A50" s="23" t="s">
        <v>933</v>
      </c>
      <c r="B50" s="63" t="s">
        <v>934</v>
      </c>
      <c r="C50" s="63" t="n">
        <v>3</v>
      </c>
      <c r="D50" s="23" t="n">
        <v>1.75</v>
      </c>
      <c r="E50" s="63" t="s">
        <v>935</v>
      </c>
      <c r="F50" s="63" t="s">
        <v>916</v>
      </c>
      <c r="G50" s="6" t="s">
        <v>936</v>
      </c>
    </row>
    <row r="51" customFormat="false" ht="15" hidden="false" customHeight="true" outlineLevel="0" collapsed="false">
      <c r="A51" s="23" t="s">
        <v>937</v>
      </c>
      <c r="B51" s="63" t="s">
        <v>888</v>
      </c>
      <c r="C51" s="63" t="n">
        <v>12</v>
      </c>
      <c r="D51" s="23" t="n">
        <v>5</v>
      </c>
      <c r="E51" s="63" t="s">
        <v>938</v>
      </c>
      <c r="F51" s="63" t="s">
        <v>916</v>
      </c>
      <c r="G51" s="6" t="s">
        <v>939</v>
      </c>
    </row>
    <row r="52" customFormat="false" ht="15" hidden="false" customHeight="true" outlineLevel="0" collapsed="false">
      <c r="A52" s="23" t="s">
        <v>940</v>
      </c>
      <c r="B52" s="63" t="s">
        <v>941</v>
      </c>
      <c r="C52" s="63" t="s">
        <v>942</v>
      </c>
      <c r="D52" s="23" t="s">
        <v>943</v>
      </c>
      <c r="E52" s="63" t="s">
        <v>944</v>
      </c>
      <c r="F52" s="63" t="s">
        <v>916</v>
      </c>
      <c r="G52" s="6" t="s">
        <v>945</v>
      </c>
    </row>
    <row r="53" customFormat="false" ht="15" hidden="false" customHeight="true" outlineLevel="0" collapsed="false">
      <c r="A53" s="23" t="s">
        <v>896</v>
      </c>
      <c r="B53" s="63" t="s">
        <v>897</v>
      </c>
      <c r="C53" s="63" t="s">
        <v>946</v>
      </c>
      <c r="D53" s="23" t="s">
        <v>947</v>
      </c>
      <c r="E53" s="63" t="s">
        <v>948</v>
      </c>
      <c r="F53" s="63" t="s">
        <v>916</v>
      </c>
      <c r="G53" s="6" t="s">
        <v>949</v>
      </c>
    </row>
    <row r="54" customFormat="false" ht="15" hidden="false" customHeight="true" outlineLevel="0" collapsed="false">
      <c r="A54" s="23" t="s">
        <v>950</v>
      </c>
      <c r="B54" s="63" t="s">
        <v>951</v>
      </c>
      <c r="C54" s="63" t="n">
        <v>7</v>
      </c>
      <c r="D54" s="23" t="n">
        <v>4</v>
      </c>
      <c r="E54" s="63" t="s">
        <v>952</v>
      </c>
      <c r="F54" s="63" t="s">
        <v>916</v>
      </c>
      <c r="G54" s="6" t="s">
        <v>953</v>
      </c>
    </row>
    <row r="55" customFormat="false" ht="15" hidden="false" customHeight="true" outlineLevel="0" collapsed="false">
      <c r="A55" s="23" t="s">
        <v>954</v>
      </c>
      <c r="B55" s="63" t="s">
        <v>955</v>
      </c>
      <c r="C55" s="63" t="n">
        <v>10</v>
      </c>
      <c r="D55" s="23" t="n">
        <v>7</v>
      </c>
      <c r="E55" s="63" t="s">
        <v>956</v>
      </c>
      <c r="F55" s="63" t="s">
        <v>916</v>
      </c>
      <c r="G55" s="6" t="s">
        <v>957</v>
      </c>
    </row>
    <row r="56" customFormat="false" ht="15" hidden="false" customHeight="true" outlineLevel="0" collapsed="false">
      <c r="A56" s="23" t="s">
        <v>958</v>
      </c>
      <c r="B56" s="63" t="s">
        <v>959</v>
      </c>
      <c r="C56" s="63" t="s">
        <v>960</v>
      </c>
      <c r="D56" s="23" t="s">
        <v>961</v>
      </c>
      <c r="E56" s="63" t="s">
        <v>962</v>
      </c>
      <c r="F56" s="63" t="s">
        <v>916</v>
      </c>
      <c r="G56" s="6" t="s">
        <v>963</v>
      </c>
    </row>
    <row r="57" customFormat="false" ht="15" hidden="false" customHeight="true" outlineLevel="0" collapsed="false">
      <c r="A57" s="23" t="s">
        <v>964</v>
      </c>
      <c r="B57" s="63" t="s">
        <v>965</v>
      </c>
      <c r="C57" s="63" t="n">
        <v>5</v>
      </c>
      <c r="D57" s="23" t="n">
        <v>6</v>
      </c>
      <c r="E57" s="63" t="s">
        <v>966</v>
      </c>
      <c r="F57" s="63" t="s">
        <v>916</v>
      </c>
      <c r="G57" s="6" t="s">
        <v>967</v>
      </c>
    </row>
    <row r="58" customFormat="false" ht="15" hidden="false" customHeight="true" outlineLevel="0" collapsed="false">
      <c r="A58" s="23" t="s">
        <v>968</v>
      </c>
      <c r="B58" s="63" t="s">
        <v>969</v>
      </c>
      <c r="C58" s="63" t="n">
        <v>8</v>
      </c>
      <c r="D58" s="23" t="n">
        <v>12</v>
      </c>
      <c r="E58" s="63" t="s">
        <v>970</v>
      </c>
      <c r="F58" s="63" t="s">
        <v>916</v>
      </c>
      <c r="G58" s="6" t="s">
        <v>971</v>
      </c>
    </row>
    <row r="59" customFormat="false" ht="15" hidden="false" customHeight="true" outlineLevel="0" collapsed="false">
      <c r="A59" s="23" t="s">
        <v>972</v>
      </c>
      <c r="B59" s="63" t="s">
        <v>973</v>
      </c>
      <c r="C59" s="63" t="n">
        <v>11</v>
      </c>
      <c r="D59" s="23" t="n">
        <v>14</v>
      </c>
      <c r="E59" s="63" t="s">
        <v>974</v>
      </c>
      <c r="F59" s="63" t="s">
        <v>916</v>
      </c>
      <c r="G59" s="6" t="s">
        <v>975</v>
      </c>
    </row>
    <row r="60" customFormat="false" ht="15" hidden="false" customHeight="true" outlineLevel="0" collapsed="false">
      <c r="A60" s="23" t="s">
        <v>976</v>
      </c>
      <c r="B60" s="63" t="s">
        <v>977</v>
      </c>
      <c r="C60" s="63" t="n">
        <v>12</v>
      </c>
      <c r="D60" s="23" t="n">
        <v>11</v>
      </c>
      <c r="E60" s="63" t="s">
        <v>978</v>
      </c>
      <c r="F60" s="63" t="s">
        <v>916</v>
      </c>
      <c r="G60" s="6" t="s">
        <v>979</v>
      </c>
    </row>
    <row r="61" customFormat="false" ht="15" hidden="false" customHeight="true" outlineLevel="0" collapsed="false">
      <c r="A61" s="23" t="s">
        <v>980</v>
      </c>
      <c r="B61" s="63" t="s">
        <v>981</v>
      </c>
      <c r="C61" s="63" t="n">
        <v>4</v>
      </c>
      <c r="D61" s="23" t="n">
        <v>4.5</v>
      </c>
      <c r="E61" s="63" t="s">
        <v>982</v>
      </c>
      <c r="F61" s="63" t="s">
        <v>916</v>
      </c>
      <c r="G61" s="6" t="s">
        <v>983</v>
      </c>
    </row>
    <row r="62" customFormat="false" ht="15" hidden="false" customHeight="true" outlineLevel="0" collapsed="false">
      <c r="A62" s="23" t="s">
        <v>984</v>
      </c>
      <c r="B62" s="63" t="s">
        <v>985</v>
      </c>
      <c r="C62" s="63" t="s">
        <v>986</v>
      </c>
      <c r="D62" s="23" t="s">
        <v>987</v>
      </c>
      <c r="E62" s="63" t="s">
        <v>988</v>
      </c>
      <c r="F62" s="63" t="s">
        <v>916</v>
      </c>
      <c r="G62" s="6" t="s">
        <v>989</v>
      </c>
    </row>
    <row r="63" customFormat="false" ht="15" hidden="false" customHeight="true" outlineLevel="0" collapsed="false">
      <c r="A63" s="23" t="s">
        <v>331</v>
      </c>
      <c r="B63" s="63" t="s">
        <v>990</v>
      </c>
      <c r="C63" s="63" t="s">
        <v>991</v>
      </c>
      <c r="D63" s="23" t="s">
        <v>992</v>
      </c>
      <c r="E63" s="63" t="s">
        <v>988</v>
      </c>
      <c r="F63" s="63" t="s">
        <v>916</v>
      </c>
      <c r="G63" s="6" t="s">
        <v>993</v>
      </c>
    </row>
    <row r="64" customFormat="false" ht="15" hidden="false" customHeight="true" outlineLevel="0" collapsed="false">
      <c r="A64" s="23" t="s">
        <v>994</v>
      </c>
      <c r="B64" s="63" t="s">
        <v>995</v>
      </c>
      <c r="C64" s="63" t="s">
        <v>996</v>
      </c>
      <c r="D64" s="23" t="s">
        <v>997</v>
      </c>
      <c r="E64" s="63" t="s">
        <v>988</v>
      </c>
      <c r="F64" s="63" t="s">
        <v>916</v>
      </c>
      <c r="G64" s="6" t="s">
        <v>998</v>
      </c>
    </row>
    <row r="65" customFormat="false" ht="25.5" hidden="false" customHeight="true" outlineLevel="0" collapsed="false">
      <c r="A65" s="23" t="s">
        <v>75</v>
      </c>
      <c r="B65" s="63" t="s">
        <v>903</v>
      </c>
      <c r="C65" s="63" t="n">
        <v>1.25</v>
      </c>
      <c r="D65" s="23" t="n">
        <v>1.7</v>
      </c>
      <c r="E65" s="63" t="s">
        <v>999</v>
      </c>
      <c r="F65" s="63" t="s">
        <v>916</v>
      </c>
      <c r="G65" s="6" t="s">
        <v>1000</v>
      </c>
    </row>
    <row r="66" customFormat="false" ht="15" hidden="false" customHeight="true" outlineLevel="0" collapsed="false">
      <c r="A66" s="23" t="s">
        <v>1001</v>
      </c>
      <c r="B66" s="63" t="s">
        <v>1002</v>
      </c>
      <c r="C66" s="63" t="n">
        <v>0.85</v>
      </c>
      <c r="D66" s="23" t="n">
        <v>0.6</v>
      </c>
      <c r="E66" s="63" t="s">
        <v>1003</v>
      </c>
      <c r="F66" s="63" t="s">
        <v>916</v>
      </c>
      <c r="G66" s="6" t="s">
        <v>1004</v>
      </c>
    </row>
    <row r="67" customFormat="false" ht="15" hidden="false" customHeight="true" outlineLevel="0" collapsed="false">
      <c r="A67" s="23" t="s">
        <v>1005</v>
      </c>
      <c r="B67" s="63" t="s">
        <v>1006</v>
      </c>
      <c r="C67" s="63" t="n">
        <v>0.75</v>
      </c>
      <c r="D67" s="23" t="n">
        <v>0.4</v>
      </c>
      <c r="E67" s="63" t="s">
        <v>1007</v>
      </c>
      <c r="F67" s="63" t="s">
        <v>916</v>
      </c>
      <c r="G67" s="6" t="s">
        <v>1008</v>
      </c>
    </row>
    <row r="68" customFormat="false" ht="15" hidden="false" customHeight="true" outlineLevel="0" collapsed="false">
      <c r="A68" s="23" t="s">
        <v>1009</v>
      </c>
      <c r="B68" s="63" t="s">
        <v>1010</v>
      </c>
      <c r="C68" s="63" t="n">
        <v>9</v>
      </c>
      <c r="D68" s="23" t="n">
        <v>12</v>
      </c>
      <c r="E68" s="63" t="s">
        <v>1011</v>
      </c>
      <c r="F68" s="63" t="s">
        <v>916</v>
      </c>
      <c r="G68" s="6" t="s">
        <v>1012</v>
      </c>
    </row>
    <row r="69" customFormat="false" ht="15" hidden="false" customHeight="true" outlineLevel="0" collapsed="false">
      <c r="A69" s="23" t="s">
        <v>130</v>
      </c>
      <c r="B69" s="63" t="s">
        <v>1013</v>
      </c>
      <c r="C69" s="63" t="n">
        <v>1.4</v>
      </c>
      <c r="D69" s="23" t="n">
        <v>1.55</v>
      </c>
      <c r="E69" s="63" t="s">
        <v>1014</v>
      </c>
      <c r="F69" s="63" t="s">
        <v>916</v>
      </c>
      <c r="G69" s="6" t="s">
        <v>1015</v>
      </c>
    </row>
    <row r="70" customFormat="false" ht="15" hidden="false" customHeight="true" outlineLevel="0" collapsed="false">
      <c r="A70" s="23" t="s">
        <v>1016</v>
      </c>
      <c r="B70" s="63" t="s">
        <v>1017</v>
      </c>
      <c r="C70" s="63" t="n">
        <v>1.1</v>
      </c>
      <c r="D70" s="23" t="n">
        <v>1.25</v>
      </c>
      <c r="E70" s="63" t="s">
        <v>1018</v>
      </c>
      <c r="F70" s="63" t="s">
        <v>916</v>
      </c>
      <c r="G70" s="6" t="s">
        <v>1019</v>
      </c>
    </row>
    <row r="71" customFormat="false" ht="15" hidden="false" customHeight="true" outlineLevel="0" collapsed="false">
      <c r="A71" s="23" t="s">
        <v>1020</v>
      </c>
      <c r="B71" s="63" t="s">
        <v>1021</v>
      </c>
      <c r="C71" s="63" t="n">
        <v>20</v>
      </c>
      <c r="D71" s="23" t="n">
        <v>26.5</v>
      </c>
      <c r="E71" s="63" t="s">
        <v>1011</v>
      </c>
      <c r="F71" s="63" t="s">
        <v>916</v>
      </c>
      <c r="G71" s="6" t="s">
        <v>1022</v>
      </c>
    </row>
    <row r="72" customFormat="false" ht="15" hidden="false" customHeight="true" outlineLevel="0" collapsed="false">
      <c r="A72" s="23" t="s">
        <v>1023</v>
      </c>
      <c r="B72" s="63" t="s">
        <v>1024</v>
      </c>
      <c r="C72" s="63" t="n">
        <v>12</v>
      </c>
      <c r="D72" s="23" t="n">
        <v>9.99</v>
      </c>
      <c r="E72" s="63" t="s">
        <v>1025</v>
      </c>
      <c r="F72" s="63" t="s">
        <v>916</v>
      </c>
      <c r="G72" s="6" t="s">
        <v>1026</v>
      </c>
    </row>
    <row r="73" customFormat="false" ht="15" hidden="false" customHeight="true" outlineLevel="0" collapsed="false">
      <c r="A73" s="23" t="s">
        <v>1027</v>
      </c>
      <c r="B73" s="63" t="s">
        <v>1028</v>
      </c>
      <c r="C73" s="63" t="n">
        <v>13</v>
      </c>
      <c r="D73" s="23" t="n">
        <v>12.99</v>
      </c>
      <c r="E73" s="63" t="s">
        <v>1029</v>
      </c>
      <c r="F73" s="63" t="s">
        <v>916</v>
      </c>
      <c r="G73" s="6" t="s">
        <v>1030</v>
      </c>
    </row>
    <row r="74" customFormat="false" ht="15" hidden="false" customHeight="true" outlineLevel="0" collapsed="false">
      <c r="A74" s="23" t="s">
        <v>1031</v>
      </c>
      <c r="B74" s="63" t="s">
        <v>1032</v>
      </c>
      <c r="C74" s="63" t="n">
        <v>11</v>
      </c>
      <c r="D74" s="23" t="n">
        <v>10.49</v>
      </c>
      <c r="E74" s="63" t="s">
        <v>1033</v>
      </c>
      <c r="F74" s="63" t="s">
        <v>916</v>
      </c>
      <c r="G74" s="6" t="s">
        <v>1034</v>
      </c>
    </row>
    <row r="75" customFormat="false" ht="15" hidden="false" customHeight="true" outlineLevel="0" collapsed="false">
      <c r="A75" s="23" t="s">
        <v>1035</v>
      </c>
      <c r="B75" s="63" t="s">
        <v>1036</v>
      </c>
      <c r="C75" s="63" t="n">
        <v>16</v>
      </c>
      <c r="D75" s="23" t="n">
        <v>18.59</v>
      </c>
      <c r="E75" s="63" t="s">
        <v>1037</v>
      </c>
      <c r="F75" s="63" t="s">
        <v>916</v>
      </c>
      <c r="G75" s="6" t="s">
        <v>1038</v>
      </c>
    </row>
    <row r="76" customFormat="false" ht="15" hidden="false" customHeight="true" outlineLevel="0" collapsed="false">
      <c r="A76" s="23" t="s">
        <v>1039</v>
      </c>
      <c r="B76" s="63" t="s">
        <v>1040</v>
      </c>
      <c r="C76" s="63" t="n">
        <v>24</v>
      </c>
      <c r="D76" s="23" t="n">
        <v>15</v>
      </c>
      <c r="E76" s="63" t="s">
        <v>1041</v>
      </c>
      <c r="F76" s="63" t="s">
        <v>916</v>
      </c>
      <c r="G76" s="6" t="s">
        <v>1042</v>
      </c>
    </row>
    <row r="77" customFormat="false" ht="15" hidden="false" customHeight="true" outlineLevel="0" collapsed="false">
      <c r="A77" s="23" t="s">
        <v>1043</v>
      </c>
      <c r="B77" s="63" t="s">
        <v>1044</v>
      </c>
      <c r="C77" s="63" t="n">
        <v>24</v>
      </c>
      <c r="D77" s="23" t="n">
        <v>15.49</v>
      </c>
      <c r="E77" s="63" t="s">
        <v>1045</v>
      </c>
      <c r="F77" s="63" t="s">
        <v>916</v>
      </c>
      <c r="G77" s="6" t="s">
        <v>1046</v>
      </c>
    </row>
    <row r="78" customFormat="false" ht="15" hidden="false" customHeight="true" outlineLevel="0" collapsed="false">
      <c r="A78" s="23" t="s">
        <v>1047</v>
      </c>
      <c r="B78" s="63" t="s">
        <v>1048</v>
      </c>
      <c r="C78" s="63" t="n">
        <v>28</v>
      </c>
      <c r="D78" s="23" t="n">
        <v>14</v>
      </c>
      <c r="E78" s="63" t="s">
        <v>1049</v>
      </c>
      <c r="F78" s="63" t="s">
        <v>916</v>
      </c>
      <c r="G78" s="6" t="s">
        <v>1050</v>
      </c>
    </row>
    <row r="79" customFormat="false" ht="15" hidden="false" customHeight="true" outlineLevel="0" collapsed="false">
      <c r="A79" s="23" t="s">
        <v>1051</v>
      </c>
      <c r="B79" s="63" t="s">
        <v>1052</v>
      </c>
      <c r="C79" s="63" t="n">
        <v>24</v>
      </c>
      <c r="D79" s="23" t="n">
        <v>26</v>
      </c>
      <c r="E79" s="63" t="s">
        <v>1053</v>
      </c>
      <c r="F79" s="63" t="s">
        <v>916</v>
      </c>
      <c r="G79" s="6" t="s">
        <v>1054</v>
      </c>
    </row>
    <row r="80" customFormat="false" ht="15" hidden="false" customHeight="true" outlineLevel="0" collapsed="false">
      <c r="A80" s="23" t="s">
        <v>1055</v>
      </c>
      <c r="B80" s="63" t="s">
        <v>1056</v>
      </c>
      <c r="C80" s="63" t="n">
        <v>20</v>
      </c>
      <c r="D80" s="23" t="n">
        <v>15.99</v>
      </c>
      <c r="E80" s="63" t="s">
        <v>1057</v>
      </c>
      <c r="F80" s="63" t="s">
        <v>916</v>
      </c>
      <c r="G80" s="6" t="s">
        <v>1058</v>
      </c>
    </row>
    <row r="81" customFormat="false" ht="15" hidden="false" customHeight="true" outlineLevel="0" collapsed="false">
      <c r="A81" s="23" t="s">
        <v>1059</v>
      </c>
      <c r="B81" s="63" t="s">
        <v>1060</v>
      </c>
      <c r="C81" s="63" t="n">
        <v>22</v>
      </c>
      <c r="D81" s="23" t="n">
        <v>24.99</v>
      </c>
      <c r="E81" s="63" t="s">
        <v>1018</v>
      </c>
      <c r="F81" s="63" t="s">
        <v>916</v>
      </c>
      <c r="G81" s="6" t="s">
        <v>1061</v>
      </c>
    </row>
    <row r="82" customFormat="false" ht="15" hidden="false" customHeight="true" outlineLevel="0" collapsed="false">
      <c r="A82" s="23" t="s">
        <v>1062</v>
      </c>
      <c r="B82" s="63" t="s">
        <v>1063</v>
      </c>
      <c r="C82" s="63" t="s">
        <v>1064</v>
      </c>
      <c r="D82" s="23" t="s">
        <v>1065</v>
      </c>
      <c r="E82" s="63" t="s">
        <v>922</v>
      </c>
      <c r="F82" s="63" t="s">
        <v>916</v>
      </c>
      <c r="G82" s="6" t="s">
        <v>1066</v>
      </c>
    </row>
    <row r="83" customFormat="false" ht="15" hidden="false" customHeight="true" outlineLevel="0" collapsed="false">
      <c r="A83" s="23" t="s">
        <v>1067</v>
      </c>
      <c r="B83" s="63" t="s">
        <v>1068</v>
      </c>
      <c r="C83" s="63" t="n">
        <v>3.5</v>
      </c>
      <c r="D83" s="23" t="n">
        <v>6.5</v>
      </c>
      <c r="E83" s="63" t="s">
        <v>1069</v>
      </c>
      <c r="F83" s="63" t="s">
        <v>916</v>
      </c>
      <c r="G83" s="6" t="s">
        <v>1070</v>
      </c>
    </row>
    <row r="84" customFormat="false" ht="15" hidden="false" customHeight="true" outlineLevel="0" collapsed="false">
      <c r="A84" s="23" t="s">
        <v>1071</v>
      </c>
      <c r="B84" s="63" t="s">
        <v>858</v>
      </c>
      <c r="C84" s="63" t="n">
        <v>7.49</v>
      </c>
      <c r="D84" s="23" t="n">
        <v>9.99</v>
      </c>
      <c r="E84" s="63" t="s">
        <v>1011</v>
      </c>
      <c r="F84" s="63" t="s">
        <v>916</v>
      </c>
      <c r="G84" s="6" t="s">
        <v>1072</v>
      </c>
    </row>
    <row r="85" customFormat="false" ht="15" hidden="false" customHeight="true" outlineLevel="0" collapsed="false">
      <c r="A85" s="23" t="s">
        <v>1073</v>
      </c>
      <c r="B85" s="63" t="s">
        <v>1074</v>
      </c>
      <c r="C85" s="63" t="n">
        <v>6</v>
      </c>
      <c r="D85" s="23" t="n">
        <v>7.5</v>
      </c>
      <c r="E85" s="63" t="s">
        <v>1075</v>
      </c>
      <c r="F85" s="63" t="s">
        <v>916</v>
      </c>
      <c r="G85" s="6" t="s">
        <v>1076</v>
      </c>
    </row>
    <row r="86" customFormat="false" ht="15" hidden="false" customHeight="true" outlineLevel="0" collapsed="false">
      <c r="A86" s="23" t="s">
        <v>1077</v>
      </c>
      <c r="B86" s="63" t="s">
        <v>1078</v>
      </c>
      <c r="C86" s="63" t="n">
        <v>5</v>
      </c>
      <c r="D86" s="23" t="n">
        <v>6.17</v>
      </c>
      <c r="E86" s="63" t="s">
        <v>1079</v>
      </c>
      <c r="F86" s="63" t="s">
        <v>916</v>
      </c>
      <c r="G86" s="6" t="s">
        <v>1080</v>
      </c>
    </row>
    <row r="87" customFormat="false" ht="15" hidden="false" customHeight="true" outlineLevel="0" collapsed="false">
      <c r="A87" s="23" t="s">
        <v>1081</v>
      </c>
      <c r="B87" s="63" t="s">
        <v>1082</v>
      </c>
      <c r="C87" s="63" t="n">
        <v>4</v>
      </c>
      <c r="D87" s="23" t="n">
        <v>4.68</v>
      </c>
      <c r="E87" s="63" t="s">
        <v>926</v>
      </c>
      <c r="F87" s="63" t="s">
        <v>916</v>
      </c>
      <c r="G87" s="6" t="s">
        <v>1083</v>
      </c>
    </row>
    <row r="88" customFormat="false" ht="15" hidden="false" customHeight="true" outlineLevel="0" collapsed="false">
      <c r="A88" s="23" t="s">
        <v>1084</v>
      </c>
      <c r="B88" s="63" t="s">
        <v>855</v>
      </c>
      <c r="C88" s="63" t="n">
        <v>2.87</v>
      </c>
      <c r="D88" s="23" t="n">
        <v>3.25</v>
      </c>
      <c r="E88" s="63" t="s">
        <v>982</v>
      </c>
      <c r="F88" s="63" t="s">
        <v>916</v>
      </c>
      <c r="G88" s="6" t="s">
        <v>1085</v>
      </c>
    </row>
    <row r="89" customFormat="false" ht="15" hidden="false" customHeight="true" outlineLevel="0" collapsed="false">
      <c r="A89" s="23" t="s">
        <v>1086</v>
      </c>
      <c r="B89" s="63" t="s">
        <v>1087</v>
      </c>
      <c r="C89" s="63" t="n">
        <v>2.48</v>
      </c>
      <c r="D89" s="23" t="n">
        <v>2.78</v>
      </c>
      <c r="E89" s="63" t="s">
        <v>1088</v>
      </c>
      <c r="F89" s="63" t="s">
        <v>916</v>
      </c>
      <c r="G89" s="6" t="s">
        <v>1083</v>
      </c>
    </row>
    <row r="90" customFormat="false" ht="15" hidden="false" customHeight="true" outlineLevel="0" collapsed="false">
      <c r="A90" s="23"/>
      <c r="B90" s="63"/>
      <c r="C90" s="63"/>
      <c r="D90" s="23"/>
      <c r="E90" s="63"/>
      <c r="F90" s="63"/>
      <c r="G90" s="6"/>
    </row>
    <row r="91" customFormat="false" ht="15" hidden="false" customHeight="true" outlineLevel="0" collapsed="false">
      <c r="A91" s="23" t="s">
        <v>1089</v>
      </c>
      <c r="B91" s="63" t="s">
        <v>861</v>
      </c>
      <c r="C91" s="63" t="n">
        <v>0.25</v>
      </c>
      <c r="D91" s="23" t="n">
        <v>0.29</v>
      </c>
      <c r="E91" s="63" t="s">
        <v>1037</v>
      </c>
      <c r="F91" s="63" t="s">
        <v>916</v>
      </c>
      <c r="G91" s="6" t="s">
        <v>1090</v>
      </c>
    </row>
    <row r="92" customFormat="false" ht="15" hidden="false" customHeight="true" outlineLevel="0" collapsed="false">
      <c r="A92" s="23" t="s">
        <v>1091</v>
      </c>
      <c r="B92" s="63" t="s">
        <v>864</v>
      </c>
      <c r="C92" s="63" t="n">
        <v>0.3</v>
      </c>
      <c r="D92" s="23" t="n">
        <v>0.32</v>
      </c>
      <c r="E92" s="63" t="s">
        <v>1092</v>
      </c>
      <c r="F92" s="63" t="s">
        <v>916</v>
      </c>
      <c r="G92" s="6" t="s">
        <v>1093</v>
      </c>
    </row>
    <row r="93" customFormat="false" ht="15" hidden="false" customHeight="true" outlineLevel="0" collapsed="false">
      <c r="A93" s="23" t="s">
        <v>1094</v>
      </c>
      <c r="B93" s="63" t="s">
        <v>1095</v>
      </c>
      <c r="C93" s="63" t="s">
        <v>1096</v>
      </c>
      <c r="D93" s="23" t="s">
        <v>1097</v>
      </c>
      <c r="E93" s="63" t="s">
        <v>1041</v>
      </c>
      <c r="F93" s="63" t="s">
        <v>916</v>
      </c>
      <c r="G93" s="6" t="s">
        <v>1098</v>
      </c>
    </row>
    <row r="94" customFormat="false" ht="15" hidden="false" customHeight="true" outlineLevel="0" collapsed="false">
      <c r="A94" s="23" t="s">
        <v>1099</v>
      </c>
      <c r="B94" s="63" t="s">
        <v>1100</v>
      </c>
      <c r="C94" s="63" t="s">
        <v>1101</v>
      </c>
      <c r="D94" s="23" t="s">
        <v>1102</v>
      </c>
      <c r="E94" s="63" t="s">
        <v>1103</v>
      </c>
      <c r="F94" s="63" t="s">
        <v>916</v>
      </c>
      <c r="G94" s="6" t="s">
        <v>1104</v>
      </c>
    </row>
    <row r="95" customFormat="false" ht="15" hidden="false" customHeight="true" outlineLevel="0" collapsed="false">
      <c r="A95" s="23" t="s">
        <v>1105</v>
      </c>
      <c r="B95" s="63" t="s">
        <v>1106</v>
      </c>
      <c r="C95" s="63" t="s">
        <v>1107</v>
      </c>
      <c r="D95" s="23" t="s">
        <v>1108</v>
      </c>
      <c r="E95" s="63" t="s">
        <v>1109</v>
      </c>
      <c r="F95" s="63" t="s">
        <v>916</v>
      </c>
      <c r="G95" s="6" t="s">
        <v>1110</v>
      </c>
    </row>
    <row r="96" customFormat="false" ht="15" hidden="false" customHeight="true" outlineLevel="0" collapsed="false">
      <c r="A96" s="23" t="s">
        <v>1111</v>
      </c>
      <c r="B96" s="63" t="s">
        <v>1112</v>
      </c>
      <c r="C96" s="63" t="n">
        <v>12</v>
      </c>
      <c r="D96" s="23" t="n">
        <v>20</v>
      </c>
      <c r="E96" s="63" t="s">
        <v>1113</v>
      </c>
      <c r="F96" s="63" t="s">
        <v>1114</v>
      </c>
      <c r="G96" s="6" t="s">
        <v>1115</v>
      </c>
    </row>
    <row r="97" customFormat="false" ht="15" hidden="false" customHeight="true" outlineLevel="0" collapsed="false">
      <c r="A97" s="23" t="s">
        <v>1116</v>
      </c>
      <c r="B97" s="63" t="s">
        <v>1117</v>
      </c>
      <c r="C97" s="63" t="n">
        <v>10</v>
      </c>
      <c r="D97" s="23" t="n">
        <v>13</v>
      </c>
      <c r="E97" s="63" t="s">
        <v>1118</v>
      </c>
      <c r="F97" s="63" t="s">
        <v>916</v>
      </c>
      <c r="G97" s="6" t="s">
        <v>1119</v>
      </c>
    </row>
    <row r="98" customFormat="false" ht="25.5" hidden="false" customHeight="true" outlineLevel="0" collapsed="false">
      <c r="A98" s="23" t="s">
        <v>1120</v>
      </c>
      <c r="B98" s="63"/>
      <c r="C98" s="63"/>
      <c r="D98" s="23"/>
      <c r="E98" s="63"/>
      <c r="F98" s="63" t="s">
        <v>916</v>
      </c>
      <c r="G98" s="6" t="s">
        <v>1121</v>
      </c>
    </row>
    <row r="101" customFormat="false" ht="15" hidden="false" customHeight="true" outlineLevel="0" collapsed="false">
      <c r="A101" s="5" t="s">
        <v>1122</v>
      </c>
    </row>
    <row r="102" customFormat="false" ht="15" hidden="false" customHeight="true" outlineLevel="0" collapsed="false">
      <c r="A102" s="1" t="s">
        <v>1123</v>
      </c>
    </row>
    <row r="103" customFormat="false" ht="15" hidden="false" customHeight="true" outlineLevel="0" collapsed="false">
      <c r="A103" s="1" t="s">
        <v>1124</v>
      </c>
    </row>
    <row r="104" customFormat="false" ht="15" hidden="false" customHeight="true" outlineLevel="0" collapsed="false">
      <c r="A104" s="1" t="s">
        <v>1125</v>
      </c>
    </row>
    <row r="105" customFormat="false" ht="15" hidden="false" customHeight="true" outlineLevel="0" collapsed="false">
      <c r="A105" s="1" t="s">
        <v>1126</v>
      </c>
    </row>
    <row r="106" customFormat="false" ht="15" hidden="false" customHeight="true" outlineLevel="0" collapsed="false">
      <c r="A106" s="1" t="s">
        <v>1127</v>
      </c>
    </row>
    <row r="107" customFormat="false" ht="15" hidden="false" customHeight="true" outlineLevel="0" collapsed="false">
      <c r="A107" s="1" t="s">
        <v>1128</v>
      </c>
    </row>
    <row r="108" customFormat="false" ht="15" hidden="false" customHeight="true" outlineLevel="0" collapsed="false">
      <c r="A108" s="1" t="s">
        <v>1129</v>
      </c>
    </row>
    <row r="109" customFormat="false" ht="15" hidden="false" customHeight="true" outlineLevel="0" collapsed="false">
      <c r="A109" s="1" t="s">
        <v>1130</v>
      </c>
    </row>
    <row r="110" customFormat="false" ht="15" hidden="false" customHeight="true" outlineLevel="0" collapsed="false">
      <c r="A110" s="1" t="s">
        <v>1131</v>
      </c>
    </row>
    <row r="112" customFormat="false" ht="15" hidden="false" customHeight="true" outlineLevel="0" collapsed="false">
      <c r="A112" s="5" t="s">
        <v>1132</v>
      </c>
    </row>
    <row r="113" customFormat="false" ht="15" hidden="false" customHeight="true" outlineLevel="0" collapsed="false">
      <c r="A113" s="1" t="s">
        <v>1133</v>
      </c>
    </row>
    <row r="114" customFormat="false" ht="15" hidden="false" customHeight="true" outlineLevel="0" collapsed="false">
      <c r="A114" s="1" t="s">
        <v>1134</v>
      </c>
    </row>
    <row r="115" customFormat="false" ht="15" hidden="false" customHeight="true" outlineLevel="0" collapsed="false">
      <c r="A115" s="1" t="s">
        <v>1135</v>
      </c>
    </row>
    <row r="116" customFormat="false" ht="15" hidden="false" customHeight="true" outlineLevel="0" collapsed="false">
      <c r="A116" s="1" t="s">
        <v>1136</v>
      </c>
    </row>
    <row r="117" customFormat="false" ht="15" hidden="false" customHeight="true" outlineLevel="0" collapsed="false">
      <c r="A117" s="1" t="s">
        <v>1137</v>
      </c>
    </row>
    <row r="118" customFormat="false" ht="15" hidden="false" customHeight="true" outlineLevel="0" collapsed="false">
      <c r="A118" s="1" t="s">
        <v>1138</v>
      </c>
    </row>
    <row r="119" customFormat="false" ht="15" hidden="false" customHeight="true" outlineLevel="0" collapsed="false">
      <c r="A119" s="1" t="s">
        <v>1139</v>
      </c>
    </row>
    <row r="120" customFormat="false" ht="15" hidden="false" customHeight="true" outlineLevel="0" collapsed="false">
      <c r="A120" s="1" t="s">
        <v>1140</v>
      </c>
    </row>
    <row r="121" customFormat="false" ht="15" hidden="false" customHeight="true" outlineLevel="0" collapsed="false">
      <c r="A121" s="1" t="s">
        <v>1141</v>
      </c>
    </row>
    <row r="122" customFormat="false" ht="15" hidden="false" customHeight="true" outlineLevel="0" collapsed="false">
      <c r="A122" s="1" t="s">
        <v>1142</v>
      </c>
    </row>
    <row r="123" customFormat="false" ht="15" hidden="false" customHeight="true" outlineLevel="0" collapsed="false">
      <c r="A123" s="5" t="s">
        <v>1143</v>
      </c>
    </row>
    <row r="124" customFormat="false" ht="15" hidden="false" customHeight="true" outlineLevel="0" collapsed="false">
      <c r="A124" s="1" t="s">
        <v>1144</v>
      </c>
    </row>
    <row r="125" customFormat="false" ht="15" hidden="false" customHeight="true" outlineLevel="0" collapsed="false">
      <c r="A125" s="1" t="s">
        <v>1145</v>
      </c>
    </row>
    <row r="126" customFormat="false" ht="15" hidden="false" customHeight="true" outlineLevel="0" collapsed="false">
      <c r="A126" s="1" t="s">
        <v>1146</v>
      </c>
    </row>
    <row r="127" customFormat="false" ht="15" hidden="false" customHeight="true" outlineLevel="0" collapsed="false">
      <c r="A127" s="1" t="s">
        <v>1147</v>
      </c>
    </row>
    <row r="128" customFormat="false" ht="15" hidden="false" customHeight="true" outlineLevel="0" collapsed="false">
      <c r="A128" s="1" t="s">
        <v>1148</v>
      </c>
    </row>
    <row r="130" customFormat="false" ht="15" hidden="false" customHeight="true" outlineLevel="0" collapsed="false">
      <c r="A130" s="5" t="s">
        <v>1149</v>
      </c>
    </row>
    <row r="131" customFormat="false" ht="15" hidden="false" customHeight="true" outlineLevel="0" collapsed="false">
      <c r="A131" s="1" t="s">
        <v>1150</v>
      </c>
    </row>
    <row r="132" customFormat="false" ht="15" hidden="false" customHeight="true" outlineLevel="0" collapsed="false">
      <c r="A132" s="1" t="s">
        <v>1151</v>
      </c>
    </row>
    <row r="133" customFormat="false" ht="15" hidden="false" customHeight="true" outlineLevel="0" collapsed="false">
      <c r="A133" s="1" t="s">
        <v>1152</v>
      </c>
    </row>
    <row r="135" customFormat="false" ht="15" hidden="false" customHeight="true" outlineLevel="0" collapsed="false">
      <c r="A135" s="1" t="s">
        <v>1153</v>
      </c>
    </row>
    <row r="136" customFormat="false" ht="15" hidden="false" customHeight="true" outlineLevel="0" collapsed="false">
      <c r="A136" s="1" t="s">
        <v>1154</v>
      </c>
    </row>
    <row r="137" customFormat="false" ht="15" hidden="false" customHeight="true" outlineLevel="0" collapsed="false">
      <c r="A137" s="1" t="s">
        <v>1155</v>
      </c>
    </row>
    <row r="138" customFormat="false" ht="15" hidden="false" customHeight="true" outlineLevel="0" collapsed="false">
      <c r="A138" s="1" t="s">
        <v>1156</v>
      </c>
    </row>
    <row r="140" customFormat="false" ht="15" hidden="false" customHeight="true" outlineLevel="0" collapsed="false">
      <c r="A140" s="1" t="s">
        <v>1157</v>
      </c>
    </row>
    <row r="141" customFormat="false" ht="15" hidden="false" customHeight="true" outlineLevel="0" collapsed="false">
      <c r="A141" s="1" t="s">
        <v>1158</v>
      </c>
    </row>
    <row r="142" customFormat="false" ht="15" hidden="false" customHeight="true" outlineLevel="0" collapsed="false">
      <c r="A142" s="1" t="s">
        <v>1159</v>
      </c>
    </row>
    <row r="143" customFormat="false" ht="15" hidden="false" customHeight="true" outlineLevel="0" collapsed="false">
      <c r="A143" s="1" t="s">
        <v>1160</v>
      </c>
    </row>
    <row r="144" customFormat="false" ht="15" hidden="false" customHeight="true" outlineLevel="0" collapsed="false">
      <c r="A144" s="1" t="s">
        <v>1161</v>
      </c>
    </row>
    <row r="146" customFormat="false" ht="15" hidden="false" customHeight="true" outlineLevel="0" collapsed="false">
      <c r="A146" s="1" t="s">
        <v>1162</v>
      </c>
    </row>
    <row r="147" customFormat="false" ht="15" hidden="false" customHeight="true" outlineLevel="0" collapsed="false">
      <c r="A147" s="1" t="s">
        <v>1163</v>
      </c>
    </row>
    <row r="148" customFormat="false" ht="15" hidden="false" customHeight="true" outlineLevel="0" collapsed="false">
      <c r="A148" s="1" t="s">
        <v>1164</v>
      </c>
    </row>
    <row r="149" customFormat="false" ht="15" hidden="false" customHeight="true" outlineLevel="0" collapsed="false">
      <c r="A149" s="1" t="s">
        <v>1165</v>
      </c>
    </row>
  </sheetData>
  <mergeCells count="1">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defaultColWidth="8.4296875" defaultRowHeight="15" zeroHeight="false" outlineLevelRow="0" outlineLevelCol="0"/>
  <cols>
    <col collapsed="false" customWidth="true" hidden="false" outlineLevel="0" max="1" min="1" style="1" width="50"/>
    <col collapsed="false" customWidth="true" hidden="false" outlineLevel="0" max="2" min="2" style="1" width="22"/>
    <col collapsed="false" customWidth="true" hidden="false" outlineLevel="0" max="3" min="3" style="1" width="12"/>
    <col collapsed="false" customWidth="true" hidden="false" outlineLevel="0" max="4" min="4" style="1" width="15"/>
    <col collapsed="false" customWidth="true" hidden="false" outlineLevel="0" max="5" min="5" style="1" width="12"/>
    <col collapsed="false" customWidth="true" hidden="false" outlineLevel="0" max="6" min="6" style="1" width="14"/>
    <col collapsed="false" customWidth="true" hidden="false" outlineLevel="0" max="7" min="7" style="1" width="17"/>
  </cols>
  <sheetData>
    <row r="1" customFormat="false" ht="17.25" hidden="false" customHeight="true" outlineLevel="0" collapsed="false">
      <c r="A1" s="31" t="s">
        <v>1166</v>
      </c>
      <c r="B1" s="31"/>
      <c r="C1" s="31"/>
      <c r="D1" s="31"/>
      <c r="E1" s="31"/>
      <c r="F1" s="31"/>
      <c r="G1" s="31"/>
    </row>
    <row r="3" customFormat="false" ht="31.5" hidden="false" customHeight="true" outlineLevel="0" collapsed="false">
      <c r="A3" s="32" t="s">
        <v>1167</v>
      </c>
      <c r="B3" s="32"/>
      <c r="C3" s="32"/>
      <c r="D3" s="32"/>
      <c r="E3" s="32"/>
      <c r="F3" s="32"/>
      <c r="G3" s="32"/>
    </row>
    <row r="4" customFormat="false" ht="50.25" hidden="false" customHeight="true" outlineLevel="0" collapsed="false">
      <c r="A4" s="6" t="s">
        <v>1168</v>
      </c>
    </row>
    <row r="5" customFormat="false" ht="15" hidden="false" customHeight="true" outlineLevel="0" collapsed="false">
      <c r="A5" s="23" t="s">
        <v>1169</v>
      </c>
    </row>
    <row r="6" customFormat="false" ht="25.5" hidden="false" customHeight="true" outlineLevel="0" collapsed="false">
      <c r="A6" s="33" t="s">
        <v>1170</v>
      </c>
      <c r="B6" s="33" t="s">
        <v>1171</v>
      </c>
      <c r="C6" s="33" t="s">
        <v>1172</v>
      </c>
      <c r="D6" s="33" t="s">
        <v>876</v>
      </c>
      <c r="E6" s="33" t="s">
        <v>1173</v>
      </c>
      <c r="F6" s="33"/>
      <c r="G6" s="33"/>
    </row>
    <row r="7" customFormat="false" ht="15" hidden="false" customHeight="true" outlineLevel="0" collapsed="false">
      <c r="A7" s="34" t="s">
        <v>1174</v>
      </c>
      <c r="B7" s="36" t="n">
        <f aca="false">'Beverage Lines'!$C$13</f>
        <v>297</v>
      </c>
      <c r="C7" s="70" t="n">
        <f aca="false">B7/$B$12</f>
        <v>0.197473404255319</v>
      </c>
      <c r="D7" s="38" t="n">
        <f aca="false">D49</f>
        <v>504.781847826087</v>
      </c>
      <c r="E7" s="38" t="n">
        <f aca="false">D7/B7</f>
        <v>1.69960218123262</v>
      </c>
      <c r="F7" s="34"/>
      <c r="G7" s="34"/>
    </row>
    <row r="8" customFormat="false" ht="15" hidden="false" customHeight="true" outlineLevel="0" collapsed="false">
      <c r="A8" s="34" t="s">
        <v>1175</v>
      </c>
      <c r="B8" s="36" t="n">
        <f aca="false">SUM('Jug Recipes'!$E$4:$E$15)</f>
        <v>297</v>
      </c>
      <c r="C8" s="70" t="n">
        <f aca="false">B8/$B$12</f>
        <v>0.197473404255319</v>
      </c>
      <c r="D8" s="38" t="n">
        <f aca="false">E49</f>
        <v>267.490722741781</v>
      </c>
      <c r="E8" s="38" t="n">
        <f aca="false">D8/B8</f>
        <v>0.900642164113742</v>
      </c>
      <c r="F8" s="34"/>
      <c r="G8" s="34"/>
    </row>
    <row r="9" customFormat="false" ht="15" hidden="false" customHeight="true" outlineLevel="0" collapsed="false">
      <c r="A9" s="34" t="s">
        <v>1176</v>
      </c>
      <c r="B9" s="36" t="n">
        <f aca="false">('Dirty Soda - Built Drinks'!$B$3+'Dirty Soda - Built Drinks'!$B$4+'Dirty Soda - Built Drinks'!$B$11+'Dirty Soda - Built Drinks'!$B$13+'Dirty Soda - Built Drinks'!$B$14+'Dirty Soda - Built Drinks'!$B$20)</f>
        <v>163</v>
      </c>
      <c r="C9" s="70" t="n">
        <f aca="false">B9/$B$12</f>
        <v>0.108377659574468</v>
      </c>
      <c r="D9" s="38" t="n">
        <f aca="false">F49</f>
        <v>600.740928813257</v>
      </c>
      <c r="E9" s="38" t="n">
        <f aca="false">D9/B9</f>
        <v>3.68552717063348</v>
      </c>
      <c r="F9" s="34"/>
      <c r="G9" s="34"/>
    </row>
    <row r="10" customFormat="false" ht="15" hidden="false" customHeight="true" outlineLevel="0" collapsed="false">
      <c r="A10" s="34" t="s">
        <v>1177</v>
      </c>
      <c r="B10" s="36" t="n">
        <f aca="false">'Dirty Soda - Built Drinks'!$B$24-('Dirty Soda - Built Drinks'!$B$3+'Dirty Soda - Built Drinks'!$B$4+'Dirty Soda - Built Drinks'!$B$11+'Dirty Soda - Built Drinks'!$B$13+'Dirty Soda - Built Drinks'!$B$14+'Dirty Soda - Built Drinks'!$B$20)</f>
        <v>595</v>
      </c>
      <c r="C10" s="70" t="n">
        <f aca="false">B10/$B$12</f>
        <v>0.39561170212766</v>
      </c>
      <c r="D10" s="38" t="n">
        <f aca="false">G49</f>
        <v>683.946500618874</v>
      </c>
      <c r="E10" s="38" t="n">
        <f aca="false">D10/B10</f>
        <v>1.14948991700651</v>
      </c>
      <c r="F10" s="34"/>
      <c r="G10" s="34"/>
    </row>
    <row r="11" customFormat="false" ht="15" hidden="false" customHeight="true" outlineLevel="0" collapsed="false">
      <c r="A11" s="41" t="s">
        <v>1178</v>
      </c>
      <c r="B11" s="42" t="n">
        <f aca="false">('Bar Add-Ons'!B14-CEILING('Dirty Soda - Built Drinks'!$B$16*'Dirty Soda - Built Drinks'!$E$16/Assumptions!$B$174,1))+'Bar Add-Ons'!B16+Assumptions!$B$169</f>
        <v>152</v>
      </c>
      <c r="C11" s="71" t="n">
        <f aca="false">B11/$B$12</f>
        <v>0.101063829787234</v>
      </c>
      <c r="D11" s="72" t="n">
        <f aca="false">'Bar Add-Ons'!E14+'Bar Add-Ons'!E15+'Bar Add-Ons'!E16</f>
        <v>226.53</v>
      </c>
      <c r="E11" s="45" t="n">
        <f aca="false">D11/B11</f>
        <v>1.49032894736842</v>
      </c>
      <c r="F11" s="41"/>
      <c r="G11" s="41"/>
    </row>
    <row r="12" customFormat="false" ht="15" hidden="false" customHeight="true" outlineLevel="0" collapsed="false">
      <c r="A12" s="73" t="s">
        <v>1179</v>
      </c>
      <c r="B12" s="34" t="n">
        <f aca="false">SUM(B7:B11)</f>
        <v>1504</v>
      </c>
      <c r="C12" s="74" t="n">
        <f aca="false">SUM(C7:C11)</f>
        <v>1</v>
      </c>
      <c r="D12" s="75" t="n">
        <f aca="false">SUM(D7:D11)</f>
        <v>2283.49</v>
      </c>
      <c r="E12" s="76" t="n">
        <f aca="false">D12/B12</f>
        <v>1.51827792553192</v>
      </c>
      <c r="F12" s="34"/>
      <c r="G12" s="34"/>
    </row>
    <row r="13" customFormat="false" ht="15" hidden="false" customHeight="true" outlineLevel="0" collapsed="false">
      <c r="A13" s="41" t="s">
        <v>1180</v>
      </c>
      <c r="B13" s="41"/>
      <c r="C13" s="41"/>
      <c r="D13" s="72" t="n">
        <f aca="false">D29+D30+D31+D32+D33-D11</f>
        <v>1657.46142857143</v>
      </c>
      <c r="E13" s="45"/>
      <c r="F13" s="41"/>
      <c r="G13" s="41"/>
    </row>
    <row r="14" customFormat="false" ht="15" hidden="false" customHeight="true" outlineLevel="0" collapsed="false">
      <c r="A14" s="23" t="s">
        <v>1181</v>
      </c>
      <c r="D14" s="69" t="n">
        <f aca="false">D12+D13</f>
        <v>3940.95142857143</v>
      </c>
      <c r="E14" s="61" t="n">
        <f aca="false">D14/B12</f>
        <v>2.62031344984802</v>
      </c>
    </row>
    <row r="15" customFormat="false" ht="45.75" hidden="false" customHeight="true" outlineLevel="0" collapsed="false">
      <c r="A15" s="4" t="s">
        <v>1182</v>
      </c>
      <c r="B15" s="4"/>
      <c r="C15" s="4"/>
      <c r="D15" s="4"/>
      <c r="E15" s="4"/>
      <c r="F15" s="4"/>
      <c r="G15" s="4"/>
    </row>
    <row r="17" customFormat="false" ht="15" hidden="false" customHeight="true" outlineLevel="0" collapsed="false">
      <c r="A17" s="23" t="s">
        <v>1183</v>
      </c>
    </row>
    <row r="18" customFormat="false" ht="25.5" hidden="false" customHeight="true" outlineLevel="0" collapsed="false">
      <c r="A18" s="33" t="s">
        <v>1184</v>
      </c>
      <c r="B18" s="33" t="s">
        <v>1185</v>
      </c>
      <c r="C18" s="33" t="s">
        <v>1172</v>
      </c>
      <c r="D18" s="33" t="s">
        <v>876</v>
      </c>
      <c r="E18" s="33" t="s">
        <v>1173</v>
      </c>
      <c r="F18" s="33" t="s">
        <v>1186</v>
      </c>
      <c r="G18" s="33"/>
    </row>
    <row r="19" customFormat="false" ht="25.5" hidden="false" customHeight="true" outlineLevel="0" collapsed="false">
      <c r="A19" s="34" t="s">
        <v>1187</v>
      </c>
      <c r="B19" s="37" t="s">
        <v>1188</v>
      </c>
      <c r="C19" s="70" t="n">
        <f aca="false">D19/$D$34</f>
        <v>0.0975678099487216</v>
      </c>
      <c r="D19" s="38" t="n">
        <f aca="false">SUMIF('Purchase List'!$C$5:$C$109,"Soda",'Purchase List'!$F$5:$F$109)</f>
        <v>384.51</v>
      </c>
      <c r="E19" s="38" t="n">
        <f aca="false">D19/$B$12</f>
        <v>0.255658244680851</v>
      </c>
      <c r="F19" s="77" t="s">
        <v>1189</v>
      </c>
      <c r="G19" s="34"/>
    </row>
    <row r="20" customFormat="false" ht="15" hidden="false" customHeight="true" outlineLevel="0" collapsed="false">
      <c r="A20" s="34" t="s">
        <v>1190</v>
      </c>
      <c r="B20" s="37" t="s">
        <v>1191</v>
      </c>
      <c r="C20" s="70" t="n">
        <f aca="false">D20/$D$34</f>
        <v>0.091214014309815</v>
      </c>
      <c r="D20" s="38" t="n">
        <f aca="false">SUMIF('Purchase List'!$C$5:$C$109,"Syrup",'Purchase List'!$F$5:$F$109)</f>
        <v>359.47</v>
      </c>
      <c r="E20" s="38" t="n">
        <f aca="false">D20/$B$12</f>
        <v>0.239009308510638</v>
      </c>
      <c r="F20" s="77" t="s">
        <v>1192</v>
      </c>
      <c r="G20" s="34"/>
    </row>
    <row r="21" customFormat="false" ht="25.5" hidden="false" customHeight="true" outlineLevel="0" collapsed="false">
      <c r="A21" s="34" t="s">
        <v>1193</v>
      </c>
      <c r="B21" s="37" t="s">
        <v>1194</v>
      </c>
      <c r="C21" s="70" t="n">
        <f aca="false">D21/$D$34</f>
        <v>0.0100990841225433</v>
      </c>
      <c r="D21" s="38" t="n">
        <f aca="false">SUMIF('Purchase List'!$C$5:$C$109,"Dairy/cream",'Purchase List'!$F$5:$F$109)</f>
        <v>39.8</v>
      </c>
      <c r="E21" s="38" t="n">
        <f aca="false">D21/$B$12</f>
        <v>0.0264627659574468</v>
      </c>
      <c r="F21" s="77" t="s">
        <v>1189</v>
      </c>
      <c r="G21" s="34"/>
    </row>
    <row r="22" customFormat="false" ht="15" hidden="false" customHeight="true" outlineLevel="0" collapsed="false">
      <c r="A22" s="34" t="s">
        <v>1195</v>
      </c>
      <c r="B22" s="37" t="s">
        <v>1196</v>
      </c>
      <c r="C22" s="70" t="n">
        <f aca="false">D22/$D$34</f>
        <v>0.0773468045787348</v>
      </c>
      <c r="D22" s="38" t="n">
        <f aca="false">SUMIF('Purchase List'!$C$5:$C$109,"Built drink",'Purchase List'!$F$5:$F$109)</f>
        <v>304.82</v>
      </c>
      <c r="E22" s="38" t="n">
        <f aca="false">D22/$B$12</f>
        <v>0.202672872340426</v>
      </c>
      <c r="F22" s="77" t="s">
        <v>1197</v>
      </c>
      <c r="G22" s="34"/>
    </row>
    <row r="23" customFormat="false" ht="15" hidden="false" customHeight="true" outlineLevel="0" collapsed="false">
      <c r="A23" s="34" t="s">
        <v>1198</v>
      </c>
      <c r="B23" s="37" t="s">
        <v>1199</v>
      </c>
      <c r="C23" s="70" t="n">
        <f aca="false">D23/$D$34</f>
        <v>0.0148898054349457</v>
      </c>
      <c r="D23" s="38" t="n">
        <f aca="false">SUMIF('Purchase List'!$C$5:$C$109,"Fresh produce",'Purchase List'!$F$5:$F$109)</f>
        <v>58.68</v>
      </c>
      <c r="E23" s="38" t="n">
        <f aca="false">D23/$B$12</f>
        <v>0.0390159574468085</v>
      </c>
      <c r="F23" s="77" t="s">
        <v>1200</v>
      </c>
      <c r="G23" s="34"/>
    </row>
    <row r="24" customFormat="false" ht="15" hidden="false" customHeight="true" outlineLevel="0" collapsed="false">
      <c r="A24" s="34" t="s">
        <v>1201</v>
      </c>
      <c r="B24" s="37" t="s">
        <v>1202</v>
      </c>
      <c r="C24" s="70" t="n">
        <f aca="false">D24/$D$34</f>
        <v>0.145122316365954</v>
      </c>
      <c r="D24" s="38" t="n">
        <f aca="false">SUMIF('Purchase List'!$C$5:$C$109,"Beverage",'Purchase List'!$F$5:$F$109)</f>
        <v>571.92</v>
      </c>
      <c r="E24" s="38" t="n">
        <f aca="false">D24/$B$12</f>
        <v>0.380265957446809</v>
      </c>
      <c r="F24" s="77" t="s">
        <v>1203</v>
      </c>
      <c r="G24" s="34"/>
    </row>
    <row r="25" customFormat="false" ht="15" hidden="false" customHeight="true" outlineLevel="0" collapsed="false">
      <c r="A25" s="34" t="s">
        <v>1204</v>
      </c>
      <c r="B25" s="37" t="s">
        <v>1205</v>
      </c>
      <c r="C25" s="70" t="n">
        <f aca="false">D25/$D$34</f>
        <v>0.00710488330229176</v>
      </c>
      <c r="D25" s="38" t="n">
        <f aca="false">SUMIF('Purchase List'!$C$5:$C$109,"Beverage add-on",'Purchase List'!$F$5:$F$109)</f>
        <v>28</v>
      </c>
      <c r="E25" s="38" t="n">
        <f aca="false">D25/$B$12</f>
        <v>0.0186170212765957</v>
      </c>
      <c r="F25" s="77" t="s">
        <v>1206</v>
      </c>
      <c r="G25" s="34"/>
    </row>
    <row r="26" customFormat="false" ht="15" hidden="false" customHeight="true" outlineLevel="0" collapsed="false">
      <c r="A26" s="34" t="s">
        <v>1207</v>
      </c>
      <c r="B26" s="37" t="s">
        <v>1208</v>
      </c>
      <c r="C26" s="70" t="n">
        <f aca="false">D26/$D$34</f>
        <v>0</v>
      </c>
      <c r="D26" s="38" t="n">
        <f aca="false">SUMIF('Purchase List'!$C$5:$C$109,"Rental/gas",'Purchase List'!$F$5:$F$109)</f>
        <v>0</v>
      </c>
      <c r="E26" s="38" t="n">
        <f aca="false">D26/$B$12</f>
        <v>0</v>
      </c>
      <c r="F26" s="77" t="s">
        <v>1203</v>
      </c>
      <c r="G26" s="34"/>
    </row>
    <row r="27" customFormat="false" ht="15" hidden="false" customHeight="true" outlineLevel="0" collapsed="false">
      <c r="A27" s="34" t="s">
        <v>1209</v>
      </c>
      <c r="B27" s="37" t="s">
        <v>1210</v>
      </c>
      <c r="C27" s="70" t="n">
        <f aca="false">D27/$D$34</f>
        <v>0.0422562934403802</v>
      </c>
      <c r="D27" s="38" t="n">
        <f aca="false">SUMIF('Purchase List'!$C$5:$C$109,"Hardware",'Purchase List'!$F$5:$F$109)</f>
        <v>166.53</v>
      </c>
      <c r="E27" s="38" t="n">
        <f aca="false">D27/$B$12</f>
        <v>0.110724734042553</v>
      </c>
      <c r="F27" s="77" t="s">
        <v>1203</v>
      </c>
      <c r="G27" s="34"/>
    </row>
    <row r="28" customFormat="false" ht="15" hidden="false" customHeight="true" outlineLevel="0" collapsed="false">
      <c r="A28" s="34" t="s">
        <v>1211</v>
      </c>
      <c r="B28" s="37" t="s">
        <v>1212</v>
      </c>
      <c r="C28" s="70" t="n">
        <f aca="false">D28/$D$34</f>
        <v>0.0363440155495446</v>
      </c>
      <c r="D28" s="38" t="n">
        <f aca="false">SUMIF('Purchase List'!$C$5:$C$109,"Daily Special",'Purchase List'!$F$5:$F$109)</f>
        <v>143.23</v>
      </c>
      <c r="E28" s="38" t="n">
        <f aca="false">D28/$B$12</f>
        <v>0.0952327127659574</v>
      </c>
      <c r="F28" s="77" t="s">
        <v>1213</v>
      </c>
      <c r="G28" s="34"/>
    </row>
    <row r="29" customFormat="false" ht="15" hidden="false" customHeight="true" outlineLevel="0" collapsed="false">
      <c r="A29" s="34" t="s">
        <v>1214</v>
      </c>
      <c r="B29" s="37" t="s">
        <v>1215</v>
      </c>
      <c r="C29" s="70" t="n">
        <f aca="false">D29/$D$34</f>
        <v>0.207416918177119</v>
      </c>
      <c r="D29" s="38" t="n">
        <f aca="false">SUMIF('Purchase List'!$C$5:$C$109,"Liquor",'Purchase List'!$F$5:$F$109)</f>
        <v>817.42</v>
      </c>
      <c r="E29" s="38" t="n">
        <f aca="false">D29/$B$12</f>
        <v>0.543497340425532</v>
      </c>
      <c r="F29" s="77" t="s">
        <v>1216</v>
      </c>
      <c r="G29" s="34"/>
    </row>
    <row r="30" customFormat="false" ht="15" hidden="false" customHeight="true" outlineLevel="0" collapsed="false">
      <c r="A30" s="34" t="s">
        <v>1217</v>
      </c>
      <c r="B30" s="37" t="s">
        <v>1218</v>
      </c>
      <c r="C30" s="70" t="n">
        <f aca="false">D30/$D$34</f>
        <v>0.0186503186685159</v>
      </c>
      <c r="D30" s="38" t="n">
        <f aca="false">SUMIF('Purchase List'!$C$5:$C$109,"Garnish",'Purchase List'!$F$5:$F$109)</f>
        <v>73.5</v>
      </c>
      <c r="E30" s="38" t="n">
        <f aca="false">D30/$B$12</f>
        <v>0.0488696808510638</v>
      </c>
      <c r="F30" s="77" t="s">
        <v>1216</v>
      </c>
      <c r="G30" s="34"/>
    </row>
    <row r="31" customFormat="false" ht="15" hidden="false" customHeight="true" outlineLevel="0" collapsed="false">
      <c r="A31" s="34" t="s">
        <v>1219</v>
      </c>
      <c r="B31" s="37" t="s">
        <v>1220</v>
      </c>
      <c r="C31" s="70" t="n">
        <f aca="false">D31/$D$34</f>
        <v>0</v>
      </c>
      <c r="D31" s="38" t="n">
        <f aca="false">SUMIF('Purchase List'!$C$5:$C$109,"Misc",'Purchase List'!$F$5:$F$109)</f>
        <v>0</v>
      </c>
      <c r="E31" s="38" t="n">
        <f aca="false">D31/$B$12</f>
        <v>0</v>
      </c>
      <c r="F31" s="77" t="s">
        <v>1216</v>
      </c>
      <c r="G31" s="34"/>
    </row>
    <row r="32" customFormat="false" ht="25.5" hidden="false" customHeight="true" outlineLevel="0" collapsed="false">
      <c r="A32" s="34" t="s">
        <v>1221</v>
      </c>
      <c r="B32" s="37" t="s">
        <v>1222</v>
      </c>
      <c r="C32" s="70" t="n">
        <f aca="false">D32/$D$34</f>
        <v>0.16932241887927</v>
      </c>
      <c r="D32" s="38" t="n">
        <f aca="false">SUMIF('Purchase List'!$C$5:$C$109,"Camp bulk",'Purchase List'!$F$5:$F$109)</f>
        <v>667.291428571429</v>
      </c>
      <c r="E32" s="38" t="n">
        <f aca="false">D32/$B$12</f>
        <v>0.443677811550152</v>
      </c>
      <c r="F32" s="77" t="s">
        <v>1223</v>
      </c>
      <c r="G32" s="34"/>
    </row>
    <row r="33" customFormat="false" ht="25.5" hidden="false" customHeight="true" outlineLevel="0" collapsed="false">
      <c r="A33" s="34" t="s">
        <v>1224</v>
      </c>
      <c r="B33" s="37" t="s">
        <v>1225</v>
      </c>
      <c r="C33" s="70" t="n">
        <f aca="false">D33/$D$34</f>
        <v>0.0826653172221646</v>
      </c>
      <c r="D33" s="38" t="n">
        <f aca="false">SUMIF('Purchase List'!$C$5:$C$109,"Add-on",'Purchase List'!$F$5:$F$109)</f>
        <v>325.78</v>
      </c>
      <c r="E33" s="38" t="n">
        <f aca="false">D33/$B$12</f>
        <v>0.216609042553192</v>
      </c>
      <c r="F33" s="77" t="s">
        <v>1226</v>
      </c>
      <c r="G33" s="34"/>
    </row>
    <row r="34" customFormat="false" ht="15" hidden="false" customHeight="true" outlineLevel="0" collapsed="false">
      <c r="A34" s="41" t="s">
        <v>1227</v>
      </c>
      <c r="B34" s="41"/>
      <c r="C34" s="71" t="n">
        <f aca="false">SUM(C19:C33)</f>
        <v>1</v>
      </c>
      <c r="D34" s="45" t="n">
        <f aca="false">SUM(D19:D33)</f>
        <v>3940.95142857143</v>
      </c>
      <c r="E34" s="45" t="n">
        <f aca="false">D34/$B$12</f>
        <v>2.62031344984802</v>
      </c>
      <c r="F34" s="41"/>
      <c r="G34" s="41"/>
    </row>
    <row r="36" customFormat="false" ht="15" hidden="false" customHeight="true" outlineLevel="0" collapsed="false">
      <c r="A36" s="34" t="s">
        <v>1228</v>
      </c>
      <c r="B36" s="37" t="s">
        <v>1229</v>
      </c>
      <c r="C36" s="34"/>
      <c r="D36" s="38" t="n">
        <f aca="false">SUMIF('Purchase List'!$C$5:$C$109,"Deposit",'Purchase List'!$F$5:$F$109)</f>
        <v>0</v>
      </c>
      <c r="E36" s="34"/>
      <c r="F36" s="34"/>
      <c r="G36" s="34"/>
    </row>
    <row r="37" customFormat="false" ht="15" hidden="false" customHeight="true" outlineLevel="0" collapsed="false">
      <c r="A37" s="78" t="s">
        <v>1230</v>
      </c>
      <c r="B37" s="34"/>
      <c r="C37" s="34"/>
      <c r="D37" s="79" t="n">
        <f aca="false">D34+D36-'Purchase List'!$F$110</f>
        <v>0</v>
      </c>
      <c r="E37" s="34"/>
      <c r="F37" s="34"/>
      <c r="G37" s="34"/>
    </row>
    <row r="39" customFormat="false" ht="15" hidden="false" customHeight="true" outlineLevel="0" collapsed="false">
      <c r="A39" s="23" t="s">
        <v>1231</v>
      </c>
    </row>
    <row r="40" customFormat="false" ht="31.5" hidden="false" customHeight="true" outlineLevel="0" collapsed="false">
      <c r="A40" s="33" t="s">
        <v>1232</v>
      </c>
      <c r="B40" s="33" t="s">
        <v>1233</v>
      </c>
      <c r="C40" s="33" t="s">
        <v>1234</v>
      </c>
      <c r="D40" s="33" t="s">
        <v>1235</v>
      </c>
      <c r="E40" s="33" t="s">
        <v>1236</v>
      </c>
      <c r="F40" s="33" t="s">
        <v>1237</v>
      </c>
      <c r="G40" s="33" t="s">
        <v>1238</v>
      </c>
    </row>
    <row r="41" customFormat="false" ht="15" hidden="false" customHeight="true" outlineLevel="0" collapsed="false">
      <c r="A41" s="34" t="s">
        <v>1239</v>
      </c>
      <c r="B41" s="77" t="s">
        <v>1240</v>
      </c>
      <c r="C41" s="38" t="n">
        <f aca="false">D24+D26+D27</f>
        <v>738.45</v>
      </c>
      <c r="D41" s="38" t="n">
        <f aca="false">C41*$B$59/($B$59+$B$60)</f>
        <v>476.781847826087</v>
      </c>
      <c r="E41" s="38" t="n">
        <v>0</v>
      </c>
      <c r="F41" s="38" t="n">
        <f aca="false">C41*$B$60/($B$59+$B$60)</f>
        <v>261.668152173913</v>
      </c>
      <c r="G41" s="38" t="n">
        <f aca="false">C41-D41-E41-F41</f>
        <v>0</v>
      </c>
    </row>
    <row r="42" customFormat="false" ht="15" hidden="false" customHeight="true" outlineLevel="0" collapsed="false">
      <c r="A42" s="34" t="s">
        <v>1241</v>
      </c>
      <c r="B42" s="77" t="s">
        <v>1242</v>
      </c>
      <c r="C42" s="38" t="n">
        <f aca="false">D25</f>
        <v>28</v>
      </c>
      <c r="D42" s="38" t="n">
        <f aca="false">C42</f>
        <v>28</v>
      </c>
      <c r="E42" s="38" t="n">
        <v>0</v>
      </c>
      <c r="F42" s="38" t="n">
        <v>0</v>
      </c>
      <c r="G42" s="38" t="n">
        <v>0</v>
      </c>
    </row>
    <row r="43" customFormat="false" ht="15" hidden="false" customHeight="true" outlineLevel="0" collapsed="false">
      <c r="A43" s="34" t="s">
        <v>1187</v>
      </c>
      <c r="B43" s="77" t="s">
        <v>1243</v>
      </c>
      <c r="C43" s="38" t="n">
        <f aca="false">D19</f>
        <v>384.51</v>
      </c>
      <c r="D43" s="38" t="n">
        <v>0</v>
      </c>
      <c r="E43" s="38" t="n">
        <f aca="false">C43*$B$53/$B$52</f>
        <v>16.4673348277489</v>
      </c>
      <c r="F43" s="38" t="n">
        <v>0</v>
      </c>
      <c r="G43" s="38" t="n">
        <f aca="false">C43-D43-E43-F43</f>
        <v>368.042665172251</v>
      </c>
    </row>
    <row r="44" customFormat="false" ht="15" hidden="false" customHeight="true" outlineLevel="0" collapsed="false">
      <c r="A44" s="34" t="s">
        <v>1190</v>
      </c>
      <c r="B44" s="77" t="s">
        <v>1243</v>
      </c>
      <c r="C44" s="38" t="n">
        <f aca="false">D20</f>
        <v>359.47</v>
      </c>
      <c r="D44" s="38" t="n">
        <v>0</v>
      </c>
      <c r="E44" s="38" t="n">
        <f aca="false">C44*$B$55/$B$54</f>
        <v>103.310794057377</v>
      </c>
      <c r="F44" s="38" t="n">
        <f aca="false">C44*$B$56/$B$54</f>
        <v>34.2527766393443</v>
      </c>
      <c r="G44" s="38" t="n">
        <f aca="false">C44-D44-E44-F44</f>
        <v>221.906429303279</v>
      </c>
    </row>
    <row r="45" customFormat="false" ht="15" hidden="false" customHeight="true" outlineLevel="0" collapsed="false">
      <c r="A45" s="34" t="s">
        <v>1193</v>
      </c>
      <c r="B45" s="77" t="s">
        <v>1243</v>
      </c>
      <c r="C45" s="38" t="n">
        <f aca="false">D21</f>
        <v>39.8</v>
      </c>
      <c r="D45" s="38" t="n">
        <v>0</v>
      </c>
      <c r="E45" s="38" t="n">
        <f aca="false">C45*$B$58/$B$57</f>
        <v>4.48259385665529</v>
      </c>
      <c r="F45" s="38" t="n">
        <v>0</v>
      </c>
      <c r="G45" s="38" t="n">
        <f aca="false">C45-D45-E45-F45</f>
        <v>35.3174061433447</v>
      </c>
    </row>
    <row r="46" customFormat="false" ht="15" hidden="false" customHeight="true" outlineLevel="0" collapsed="false">
      <c r="A46" s="34" t="s">
        <v>1195</v>
      </c>
      <c r="B46" s="77" t="s">
        <v>1244</v>
      </c>
      <c r="C46" s="38" t="n">
        <f aca="false">D22</f>
        <v>304.82</v>
      </c>
      <c r="D46" s="38" t="n">
        <v>0</v>
      </c>
      <c r="E46" s="38" t="n">
        <v>0</v>
      </c>
      <c r="F46" s="38" t="n">
        <f aca="false">C46</f>
        <v>304.82</v>
      </c>
      <c r="G46" s="38" t="n">
        <v>0</v>
      </c>
    </row>
    <row r="47" customFormat="false" ht="15" hidden="false" customHeight="true" outlineLevel="0" collapsed="false">
      <c r="A47" s="34" t="s">
        <v>1245</v>
      </c>
      <c r="B47" s="77" t="s">
        <v>1246</v>
      </c>
      <c r="C47" s="38" t="n">
        <f aca="false">D23</f>
        <v>58.68</v>
      </c>
      <c r="D47" s="38" t="n">
        <v>0</v>
      </c>
      <c r="E47" s="38" t="n">
        <v>0</v>
      </c>
      <c r="F47" s="38" t="n">
        <v>0</v>
      </c>
      <c r="G47" s="38" t="n">
        <f aca="false">C47</f>
        <v>58.68</v>
      </c>
    </row>
    <row r="48" customFormat="false" ht="15" hidden="false" customHeight="true" outlineLevel="0" collapsed="false">
      <c r="A48" s="34" t="s">
        <v>1247</v>
      </c>
      <c r="B48" s="77" t="s">
        <v>1248</v>
      </c>
      <c r="C48" s="38" t="n">
        <f aca="false">D28</f>
        <v>143.23</v>
      </c>
      <c r="D48" s="38" t="n">
        <v>0</v>
      </c>
      <c r="E48" s="38" t="n">
        <f aca="false">C48</f>
        <v>143.23</v>
      </c>
      <c r="F48" s="38" t="n">
        <v>0</v>
      </c>
      <c r="G48" s="38" t="n">
        <v>0</v>
      </c>
    </row>
    <row r="49" customFormat="false" ht="15" hidden="false" customHeight="true" outlineLevel="0" collapsed="false">
      <c r="A49" s="41" t="s">
        <v>1249</v>
      </c>
      <c r="B49" s="41"/>
      <c r="C49" s="45" t="n">
        <f aca="false">SUM(C41:C48)</f>
        <v>2056.96</v>
      </c>
      <c r="D49" s="45" t="n">
        <f aca="false">SUM(D41:D48)</f>
        <v>504.781847826087</v>
      </c>
      <c r="E49" s="45" t="n">
        <f aca="false">SUM(E41:E48)</f>
        <v>267.490722741781</v>
      </c>
      <c r="F49" s="45" t="n">
        <f aca="false">SUM(F41:F48)</f>
        <v>600.740928813257</v>
      </c>
      <c r="G49" s="45" t="n">
        <f aca="false">SUM(G41:G48)</f>
        <v>683.946500618874</v>
      </c>
    </row>
    <row r="51" customFormat="false" ht="15" hidden="false" customHeight="true" outlineLevel="0" collapsed="false">
      <c r="A51" s="23" t="s">
        <v>1250</v>
      </c>
    </row>
    <row r="52" customFormat="false" ht="15" hidden="false" customHeight="true" outlineLevel="0" collapsed="false">
      <c r="A52" s="34" t="s">
        <v>1251</v>
      </c>
      <c r="B52" s="80" t="n">
        <f aca="false">'Base Soda — Cans'!$B$14+'Other Consumables'!$B$20</f>
        <v>4238</v>
      </c>
    </row>
    <row r="53" customFormat="false" ht="15" hidden="false" customHeight="true" outlineLevel="0" collapsed="false">
      <c r="A53" s="34" t="s">
        <v>1252</v>
      </c>
      <c r="B53" s="80" t="n">
        <f aca="false">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181.5</v>
      </c>
    </row>
    <row r="54" customFormat="false" ht="15" hidden="false" customHeight="true" outlineLevel="0" collapsed="false">
      <c r="A54" s="34" t="s">
        <v>1253</v>
      </c>
      <c r="B54" s="80" t="n">
        <f aca="false">'Other Consumables'!$B$12+'Other Consumables'!$B$17+'Other Consumables'!$B$18</f>
        <v>488</v>
      </c>
    </row>
    <row r="55" customFormat="false" ht="15" hidden="false" customHeight="true" outlineLevel="0" collapsed="false">
      <c r="A55" s="34" t="s">
        <v>1254</v>
      </c>
      <c r="B55" s="80" t="n">
        <f aca="false">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140.25</v>
      </c>
    </row>
    <row r="56" customFormat="false" ht="15" hidden="false" customHeight="true" outlineLevel="0" collapsed="false">
      <c r="A56" s="34" t="s">
        <v>1255</v>
      </c>
      <c r="B56" s="80" t="n">
        <f aca="false">'Dirty Soda - Built Drinks'!$B$3*'Dirty Soda - Built Drinks'!$I$3+'Dirty Soda - Built Drinks'!$B$13*Assumptions!$B$118+'Dirty Soda - Built Drinks'!$B$14*'Dirty Soda - Built Drinks'!$G$14</f>
        <v>46.5</v>
      </c>
    </row>
    <row r="57" customFormat="false" ht="15" hidden="false" customHeight="true" outlineLevel="0" collapsed="false">
      <c r="A57" s="34" t="s">
        <v>1256</v>
      </c>
      <c r="B57" s="80" t="n">
        <f aca="false">'Other Consumables'!$B$16</f>
        <v>146.5</v>
      </c>
    </row>
    <row r="58" customFormat="false" ht="15" hidden="false" customHeight="true" outlineLevel="0" collapsed="false">
      <c r="A58" s="34" t="s">
        <v>1257</v>
      </c>
      <c r="B58" s="80" t="n">
        <f aca="false">SUMPRODUCT(('Jug Recipes'!$F$4:$F$15="Coconut cream")*'Jug Recipes'!$G$4:$G$15)+SUMPRODUCT(('Jug Recipes'!$H$4:$H$15="Coconut cream")*'Jug Recipes'!$I$4:$I$15)+SUMPRODUCT(('Jug Recipes'!$J$4:$J$15="Coconut cream")*'Jug Recipes'!$K$4:$K$15)+SUMPRODUCT(('Jug Recipes'!$L$4:$L$15="Coconut cream")*'Jug Recipes'!$M$4:$M$15)+SUMPRODUCT(('Jug Recipes'!$N$4:$N$15="Coconut cream")*'Jug Recipes'!$O$4:$O$15)</f>
        <v>16.5</v>
      </c>
    </row>
    <row r="59" customFormat="false" ht="15" hidden="false" customHeight="true" outlineLevel="0" collapsed="false">
      <c r="A59" s="34" t="s">
        <v>1258</v>
      </c>
      <c r="B59" s="36" t="n">
        <f aca="false">'Beverage Lines'!$C$13</f>
        <v>297</v>
      </c>
    </row>
    <row r="60" customFormat="false" ht="15" hidden="false" customHeight="true" outlineLevel="0" collapsed="false">
      <c r="A60" s="34" t="s">
        <v>1259</v>
      </c>
      <c r="B60" s="36" t="n">
        <f aca="false">('Dirty Soda - Built Drinks'!$B$3+'Dirty Soda - Built Drinks'!$B$4+'Dirty Soda - Built Drinks'!$B$11+'Dirty Soda - Built Drinks'!$B$13+'Dirty Soda - Built Drinks'!$B$14+'Dirty Soda - Built Drinks'!$B$20)</f>
        <v>163</v>
      </c>
    </row>
    <row r="61" customFormat="false" ht="15" hidden="false" customHeight="true" outlineLevel="0" collapsed="false">
      <c r="A61" s="34" t="s">
        <v>1260</v>
      </c>
      <c r="B61" s="38" t="n">
        <f aca="false">C41/($B$59+$B$60)</f>
        <v>1.60532608695652</v>
      </c>
    </row>
    <row r="64" customFormat="false" ht="31.5" hidden="false" customHeight="true" outlineLevel="0" collapsed="false">
      <c r="A64" s="32" t="s">
        <v>1261</v>
      </c>
      <c r="B64" s="32"/>
      <c r="C64" s="32"/>
      <c r="D64" s="32"/>
      <c r="E64" s="32"/>
      <c r="F64" s="32"/>
      <c r="G64" s="32"/>
    </row>
  </sheetData>
  <mergeCells count="4">
    <mergeCell ref="A1:G1"/>
    <mergeCell ref="A3:G3"/>
    <mergeCell ref="A15:G15"/>
    <mergeCell ref="A64:G6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F2" activeCellId="0" sqref="F2"/>
    </sheetView>
  </sheetViews>
  <sheetFormatPr defaultColWidth="14.42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0"/>
    <col collapsed="false" customWidth="true" hidden="false" outlineLevel="0" max="4" min="4" style="1" width="11"/>
    <col collapsed="false" customWidth="true" hidden="false" outlineLevel="0" max="5" min="5" style="1" width="52"/>
    <col collapsed="false" customWidth="true" hidden="false" outlineLevel="0" max="6" min="6" style="1" width="11"/>
    <col collapsed="false" customWidth="true" hidden="false" outlineLevel="0" max="26" min="7" style="1" width="8.71"/>
  </cols>
  <sheetData>
    <row r="1" customFormat="false" ht="24" hidden="false" customHeight="true" outlineLevel="0" collapsed="false">
      <c r="A1" s="8" t="s">
        <v>1262</v>
      </c>
      <c r="B1" s="8"/>
      <c r="C1" s="8"/>
      <c r="D1" s="8"/>
      <c r="E1" s="8"/>
      <c r="F1" s="8"/>
    </row>
    <row r="2" customFormat="false" ht="458.25" hidden="false" customHeight="true" outlineLevel="0" collapsed="false">
      <c r="A2" s="6" t="s">
        <v>1263</v>
      </c>
    </row>
    <row r="3" customFormat="false" ht="15" hidden="false" customHeight="true" outlineLevel="0" collapsed="false">
      <c r="A3" s="81" t="s">
        <v>1264</v>
      </c>
      <c r="B3" s="81"/>
      <c r="C3" s="81"/>
      <c r="D3" s="81"/>
      <c r="E3" s="81"/>
      <c r="F3" s="81"/>
    </row>
    <row r="4" customFormat="false" ht="15" hidden="false" customHeight="true" outlineLevel="0" collapsed="false">
      <c r="A4" s="81"/>
      <c r="B4" s="81"/>
      <c r="C4" s="81"/>
      <c r="D4" s="81"/>
      <c r="E4" s="81"/>
      <c r="F4" s="81"/>
    </row>
    <row r="5" customFormat="false" ht="15" hidden="false" customHeight="true" outlineLevel="0" collapsed="false">
      <c r="A5" s="9" t="s">
        <v>1202</v>
      </c>
      <c r="B5" s="9" t="s">
        <v>1265</v>
      </c>
      <c r="C5" s="9" t="s">
        <v>21</v>
      </c>
      <c r="D5" s="9" t="s">
        <v>1266</v>
      </c>
      <c r="E5" s="9" t="s">
        <v>1267</v>
      </c>
      <c r="F5" s="9" t="s">
        <v>1268</v>
      </c>
    </row>
    <row r="6" customFormat="false" ht="23.25" hidden="false" customHeight="true" outlineLevel="0" collapsed="false">
      <c r="A6" s="82" t="s">
        <v>1269</v>
      </c>
      <c r="B6" s="11" t="n">
        <v>1</v>
      </c>
      <c r="C6" s="83" t="n">
        <f aca="false">B6*Assumptions!$B$12</f>
        <v>80</v>
      </c>
      <c r="D6" s="84" t="n">
        <f aca="false">Assumptions!$B$24</f>
        <v>160</v>
      </c>
      <c r="E6" s="14" t="s">
        <v>1270</v>
      </c>
      <c r="F6" s="85" t="n">
        <f aca="false">B6*(D6+Assumptions!$B$28)</f>
        <v>185</v>
      </c>
    </row>
    <row r="7" customFormat="false" ht="23.25" hidden="false" customHeight="true" outlineLevel="0" collapsed="false">
      <c r="A7" s="82" t="s">
        <v>1271</v>
      </c>
      <c r="B7" s="11" t="n">
        <v>1</v>
      </c>
      <c r="C7" s="83" t="n">
        <v>0</v>
      </c>
      <c r="D7" s="84" t="n">
        <f aca="false">Assumptions!$B$25</f>
        <v>130</v>
      </c>
      <c r="E7" s="18" t="s">
        <v>1272</v>
      </c>
      <c r="F7" s="85" t="n">
        <f aca="false">B7*(D7+Assumptions!$B$28)</f>
        <v>155</v>
      </c>
    </row>
    <row r="8" customFormat="false" ht="23.25" hidden="false" customHeight="true" outlineLevel="0" collapsed="false">
      <c r="A8" s="82" t="s">
        <v>1273</v>
      </c>
      <c r="B8" s="11" t="n">
        <v>1</v>
      </c>
      <c r="C8" s="83" t="n">
        <f aca="false">B8*Assumptions!$B$12</f>
        <v>80</v>
      </c>
      <c r="D8" s="84" t="n">
        <f aca="false">Assumptions!$B$58</f>
        <v>190</v>
      </c>
      <c r="E8" s="18" t="s">
        <v>1274</v>
      </c>
      <c r="F8" s="85" t="n">
        <f aca="false">B8*(D8+Assumptions!$B$28)</f>
        <v>215</v>
      </c>
    </row>
    <row r="9" customFormat="false" ht="34.5" hidden="false" customHeight="true" outlineLevel="0" collapsed="false">
      <c r="A9" s="82" t="s">
        <v>81</v>
      </c>
      <c r="B9" s="11" t="n">
        <v>1</v>
      </c>
      <c r="C9" s="83" t="n">
        <f aca="false">B9*Assumptions!$B$12-'Dirty Soda - Built Drinks'!$B$13</f>
        <v>47</v>
      </c>
      <c r="D9" s="84" t="n">
        <f aca="false">Assumptions!$B$27</f>
        <v>130</v>
      </c>
      <c r="E9" s="14" t="s">
        <v>1275</v>
      </c>
      <c r="F9" s="85" t="n">
        <f aca="false">B9*(D9+Assumptions!$B$28)+Assumptions!$B$63*Assumptions!$B$62</f>
        <v>173</v>
      </c>
    </row>
    <row r="10" customFormat="false" ht="15" hidden="false" customHeight="true" outlineLevel="0" collapsed="false">
      <c r="A10" s="82" t="s">
        <v>1276</v>
      </c>
      <c r="B10" s="86" t="n">
        <v>1</v>
      </c>
      <c r="C10" s="87" t="n">
        <f aca="false">B10*Assumptions!$B$66</f>
        <v>40</v>
      </c>
      <c r="D10" s="82" t="n">
        <f aca="false">Assumptions!$B$59*Assumptions!$B$65</f>
        <v>117</v>
      </c>
      <c r="E10" s="82" t="s">
        <v>1277</v>
      </c>
      <c r="F10" s="88" t="n">
        <f aca="false">B10*(D10+Assumptions!$B$28)</f>
        <v>142</v>
      </c>
    </row>
    <row r="11" customFormat="false" ht="15" hidden="false" customHeight="true" outlineLevel="0" collapsed="false">
      <c r="A11" s="1" t="s">
        <v>43</v>
      </c>
      <c r="B11" s="89" t="n">
        <v>1</v>
      </c>
      <c r="C11" s="1" t="n">
        <f aca="false">B11*Assumptions!$B$12-'Dirty Soda - Built Drinks'!$B$4</f>
        <v>50</v>
      </c>
      <c r="D11" s="1" t="n">
        <f aca="false">Assumptions!$B$67</f>
        <v>150</v>
      </c>
      <c r="E11" s="1" t="s">
        <v>1278</v>
      </c>
      <c r="F11" s="1" t="n">
        <f aca="false">B11*(D11+Assumptions!$B$28)</f>
        <v>175</v>
      </c>
    </row>
    <row r="12" customFormat="false" ht="15" hidden="false" customHeight="true" outlineLevel="0" collapsed="false">
      <c r="A12" s="1" t="s">
        <v>1279</v>
      </c>
      <c r="B12" s="89" t="n">
        <v>1</v>
      </c>
      <c r="C12" s="1" t="n">
        <v>0</v>
      </c>
      <c r="D12" s="1" t="n">
        <f aca="false">Assumptions!$B$145</f>
        <v>130</v>
      </c>
      <c r="E12" s="6" t="s">
        <v>1280</v>
      </c>
      <c r="F12" s="1" t="n">
        <f aca="false">B12*(D12+Assumptions!$B$28)</f>
        <v>155</v>
      </c>
    </row>
    <row r="13" customFormat="false" ht="15" hidden="false" customHeight="true" outlineLevel="0" collapsed="false">
      <c r="A13" s="90" t="s">
        <v>320</v>
      </c>
      <c r="B13" s="90" t="n">
        <f aca="false">SUM(B6:B12)</f>
        <v>7</v>
      </c>
      <c r="C13" s="90" t="n">
        <f aca="false">SUM(C6:C12)</f>
        <v>297</v>
      </c>
      <c r="D13" s="90"/>
      <c r="E13" s="90"/>
      <c r="F13" s="90" t="n">
        <f aca="false">SUM(F6:F12)</f>
        <v>1200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3: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3B0"/>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4296875" defaultRowHeight="15" zeroHeight="false" outlineLevelRow="0" outlineLevelCol="0"/>
  <cols>
    <col collapsed="false" customWidth="true" hidden="false" outlineLevel="0" max="1" min="1" style="1" width="40"/>
    <col collapsed="false" customWidth="true" hidden="false" outlineLevel="0" max="3" min="2" style="1" width="12"/>
    <col collapsed="false" customWidth="true" hidden="false" outlineLevel="0" max="4" min="4" style="1" width="10"/>
    <col collapsed="false" customWidth="true" hidden="false" outlineLevel="0" max="5" min="5" style="1" width="22"/>
    <col collapsed="false" customWidth="true" hidden="false" outlineLevel="0" max="6" min="6" style="1" width="62"/>
  </cols>
  <sheetData>
    <row r="1" customFormat="false" ht="17.25" hidden="false" customHeight="true" outlineLevel="0" collapsed="false">
      <c r="A1" s="2" t="s">
        <v>1281</v>
      </c>
      <c r="B1" s="3"/>
      <c r="C1" s="3"/>
      <c r="D1" s="3"/>
      <c r="E1" s="3"/>
    </row>
    <row r="3" customFormat="false" ht="75" hidden="false" customHeight="true" outlineLevel="0" collapsed="false">
      <c r="A3" s="6" t="s">
        <v>1282</v>
      </c>
    </row>
    <row r="5" customFormat="false" ht="15" hidden="false" customHeight="true" outlineLevel="0" collapsed="false">
      <c r="A5" s="5" t="s">
        <v>1283</v>
      </c>
    </row>
    <row r="6" customFormat="false" ht="15" hidden="false" customHeight="true" outlineLevel="0" collapsed="false">
      <c r="A6" s="27" t="s">
        <v>1202</v>
      </c>
      <c r="B6" s="27" t="s">
        <v>1284</v>
      </c>
      <c r="C6" s="27" t="s">
        <v>1285</v>
      </c>
      <c r="D6" s="27" t="s">
        <v>874</v>
      </c>
      <c r="E6" s="27" t="s">
        <v>143</v>
      </c>
      <c r="F6" s="27" t="s">
        <v>817</v>
      </c>
    </row>
    <row r="7" customFormat="false" ht="25.5" hidden="false" customHeight="true" outlineLevel="0" collapsed="false">
      <c r="A7" s="23" t="s">
        <v>1286</v>
      </c>
      <c r="B7" s="24" t="n">
        <v>84</v>
      </c>
      <c r="C7" s="56" t="n">
        <v>11.99</v>
      </c>
      <c r="D7" s="91" t="n">
        <f aca="false">C7/B7</f>
        <v>0.142738095238095</v>
      </c>
      <c r="E7" s="63" t="s">
        <v>1287</v>
      </c>
      <c r="F7" s="6" t="s">
        <v>1288</v>
      </c>
    </row>
    <row r="8" customFormat="false" ht="25.5" hidden="false" customHeight="true" outlineLevel="0" collapsed="false">
      <c r="A8" s="23" t="s">
        <v>1289</v>
      </c>
      <c r="B8" s="24" t="n">
        <v>144</v>
      </c>
      <c r="C8" s="56" t="n">
        <v>20</v>
      </c>
      <c r="D8" s="91" t="n">
        <f aca="false">C8/B8</f>
        <v>0.138888888888889</v>
      </c>
      <c r="E8" s="63" t="s">
        <v>1290</v>
      </c>
      <c r="F8" s="6" t="s">
        <v>1291</v>
      </c>
    </row>
    <row r="9" customFormat="false" ht="25.5" hidden="false" customHeight="true" outlineLevel="0" collapsed="false">
      <c r="A9" s="23" t="s">
        <v>1292</v>
      </c>
      <c r="B9" s="24" t="n">
        <v>72</v>
      </c>
      <c r="C9" s="56" t="n">
        <v>12.99</v>
      </c>
      <c r="D9" s="91" t="n">
        <f aca="false">C9/B9</f>
        <v>0.180416666666667</v>
      </c>
      <c r="E9" s="63" t="s">
        <v>1293</v>
      </c>
      <c r="F9" s="6" t="s">
        <v>1294</v>
      </c>
    </row>
    <row r="10" customFormat="false" ht="15" hidden="false" customHeight="true" outlineLevel="0" collapsed="false">
      <c r="A10" s="23" t="s">
        <v>1295</v>
      </c>
      <c r="B10" s="24" t="n">
        <v>72</v>
      </c>
      <c r="C10" s="56" t="n">
        <v>10.49</v>
      </c>
      <c r="D10" s="91" t="n">
        <f aca="false">C10/B10</f>
        <v>0.145694444444444</v>
      </c>
      <c r="E10" s="63" t="s">
        <v>1293</v>
      </c>
      <c r="F10" s="6" t="s">
        <v>1296</v>
      </c>
    </row>
    <row r="11" customFormat="false" ht="25.5" hidden="false" customHeight="true" outlineLevel="0" collapsed="false">
      <c r="A11" s="23" t="s">
        <v>1297</v>
      </c>
      <c r="B11" s="24" t="n">
        <v>288</v>
      </c>
      <c r="C11" s="56" t="n">
        <v>26.5</v>
      </c>
      <c r="D11" s="91" t="n">
        <f aca="false">C11/B11</f>
        <v>0.0920138888888889</v>
      </c>
      <c r="E11" s="63" t="s">
        <v>1298</v>
      </c>
      <c r="F11" s="6" t="s">
        <v>1299</v>
      </c>
    </row>
    <row r="12" customFormat="false" ht="25.5" hidden="false" customHeight="true" outlineLevel="0" collapsed="false">
      <c r="A12" s="23" t="s">
        <v>1300</v>
      </c>
      <c r="B12" s="24" t="n">
        <v>202.8</v>
      </c>
      <c r="C12" s="56" t="n">
        <v>18.59</v>
      </c>
      <c r="D12" s="91" t="n">
        <f aca="false">C12/B12</f>
        <v>0.0916666666666667</v>
      </c>
      <c r="E12" s="63" t="s">
        <v>1301</v>
      </c>
      <c r="F12" s="6" t="s">
        <v>1302</v>
      </c>
    </row>
    <row r="14" customFormat="false" ht="15" hidden="false" customHeight="true" outlineLevel="0" collapsed="false">
      <c r="A14" s="5" t="s">
        <v>1303</v>
      </c>
    </row>
    <row r="15" customFormat="false" ht="37.5" hidden="false" customHeight="true" outlineLevel="0" collapsed="false">
      <c r="A15" s="23" t="s">
        <v>1304</v>
      </c>
      <c r="B15" s="58" t="n">
        <v>0.05</v>
      </c>
      <c r="F15" s="6" t="s">
        <v>1305</v>
      </c>
    </row>
    <row r="16" customFormat="false" ht="37.5" hidden="false" customHeight="true" outlineLevel="0" collapsed="false">
      <c r="A16" s="23" t="s">
        <v>1306</v>
      </c>
      <c r="B16" s="59" t="n">
        <v>1</v>
      </c>
      <c r="F16" s="6" t="s">
        <v>1307</v>
      </c>
    </row>
    <row r="17" customFormat="false" ht="15" hidden="false" customHeight="true" outlineLevel="0" collapsed="false">
      <c r="A17" s="23" t="s">
        <v>1308</v>
      </c>
      <c r="B17" s="59" t="n">
        <v>12</v>
      </c>
      <c r="F17" s="6" t="s">
        <v>1309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M84"/>
  <sheetViews>
    <sheetView showFormulas="false" showGridLines="true" showRowColHeaders="true" showZeros="true" rightToLeft="false" tabSelected="false" showOutlineSymbols="true" defaultGridColor="true" view="normal" topLeftCell="N46" colorId="64" zoomScale="100" zoomScaleNormal="100" zoomScalePageLayoutView="100" workbookViewId="0">
      <selection pane="topLeft" activeCell="A73" activeCellId="0" sqref="A73"/>
    </sheetView>
  </sheetViews>
  <sheetFormatPr defaultColWidth="8.42968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15"/>
    <col collapsed="false" customWidth="true" hidden="false" outlineLevel="0" max="5" min="4" style="1" width="14"/>
    <col collapsed="false" customWidth="true" hidden="false" outlineLevel="0" max="6" min="6" style="1" width="12"/>
    <col collapsed="false" customWidth="true" hidden="false" outlineLevel="0" max="7" min="7" style="1" width="13"/>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1"/>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1310</v>
      </c>
      <c r="B1" s="3"/>
      <c r="C1" s="3"/>
      <c r="D1" s="3"/>
      <c r="E1" s="3"/>
      <c r="F1" s="3"/>
      <c r="G1" s="3"/>
      <c r="H1" s="3"/>
      <c r="I1" s="3"/>
      <c r="J1" s="3"/>
      <c r="K1" s="3"/>
      <c r="L1" s="3"/>
      <c r="M1" s="3"/>
    </row>
    <row r="3" customFormat="false" ht="45.75" hidden="false" customHeight="true" outlineLevel="0" collapsed="false">
      <c r="A3" s="4" t="s">
        <v>1311</v>
      </c>
      <c r="B3" s="4"/>
      <c r="C3" s="4"/>
      <c r="D3" s="4"/>
      <c r="E3" s="4"/>
      <c r="F3" s="4"/>
      <c r="G3" s="4"/>
      <c r="H3" s="4"/>
      <c r="I3" s="4"/>
      <c r="J3" s="4"/>
      <c r="K3" s="4"/>
      <c r="L3" s="4"/>
      <c r="M3" s="4"/>
    </row>
    <row r="5" customFormat="false" ht="15" hidden="false" customHeight="true" outlineLevel="0" collapsed="false">
      <c r="A5" s="5" t="s">
        <v>1312</v>
      </c>
    </row>
    <row r="6" customFormat="false" ht="30" hidden="false" customHeight="true" outlineLevel="0" collapsed="false">
      <c r="A6" s="27" t="s">
        <v>1313</v>
      </c>
      <c r="B6" s="27" t="s">
        <v>1314</v>
      </c>
      <c r="C6" s="27" t="s">
        <v>1315</v>
      </c>
      <c r="D6" s="27" t="s">
        <v>1316</v>
      </c>
      <c r="E6" s="27" t="s">
        <v>549</v>
      </c>
      <c r="F6" s="27" t="s">
        <v>1317</v>
      </c>
      <c r="G6" s="27" t="s">
        <v>1318</v>
      </c>
    </row>
    <row r="7" customFormat="false" ht="15" hidden="false" customHeight="true" outlineLevel="0" collapsed="false">
      <c r="A7" s="23" t="s">
        <v>1269</v>
      </c>
      <c r="B7" s="92" t="n">
        <f aca="false">'Beverage Lines'!C6</f>
        <v>80</v>
      </c>
      <c r="C7" s="92" t="s">
        <v>1319</v>
      </c>
      <c r="D7" s="92" t="n">
        <f aca="false">B7+C7</f>
        <v>80</v>
      </c>
      <c r="E7" s="92" t="n">
        <f aca="false">Assumptions!$B$120</f>
        <v>8</v>
      </c>
      <c r="F7" s="93" t="n">
        <f aca="false">B7*E7+C7*G7</f>
        <v>640</v>
      </c>
      <c r="G7" s="29" t="s">
        <v>1319</v>
      </c>
    </row>
    <row r="8" customFormat="false" ht="15" hidden="false" customHeight="true" outlineLevel="0" collapsed="false">
      <c r="A8" s="23" t="s">
        <v>1320</v>
      </c>
      <c r="B8" s="92" t="n">
        <f aca="false">'Beverage Lines'!C7</f>
        <v>0</v>
      </c>
      <c r="C8" s="92" t="n">
        <f aca="false">'Dirty Soda - Built Drinks'!$B$3+'Dirty Soda - Built Drinks'!$B$11</f>
        <v>50</v>
      </c>
      <c r="D8" s="92" t="n">
        <f aca="false">B8+C8</f>
        <v>50</v>
      </c>
      <c r="E8" s="92" t="n">
        <f aca="false">Assumptions!$B$120</f>
        <v>8</v>
      </c>
      <c r="F8" s="93" t="n">
        <f aca="false">B8*E8+C8*G8</f>
        <v>200</v>
      </c>
      <c r="G8" s="29" t="n">
        <f aca="false">'Dirty Soda - Built Drinks'!$E$3</f>
        <v>4</v>
      </c>
    </row>
    <row r="9" customFormat="false" ht="15" hidden="false" customHeight="true" outlineLevel="0" collapsed="false">
      <c r="A9" s="23" t="s">
        <v>1273</v>
      </c>
      <c r="B9" s="92" t="n">
        <f aca="false">'Beverage Lines'!C8</f>
        <v>80</v>
      </c>
      <c r="C9" s="92" t="s">
        <v>1319</v>
      </c>
      <c r="D9" s="92" t="n">
        <f aca="false">B9+C9</f>
        <v>80</v>
      </c>
      <c r="E9" s="92" t="n">
        <f aca="false">Assumptions!$B$120</f>
        <v>8</v>
      </c>
      <c r="F9" s="93" t="n">
        <f aca="false">B9*E9+C9*G9</f>
        <v>640</v>
      </c>
      <c r="G9" s="29" t="s">
        <v>1319</v>
      </c>
    </row>
    <row r="10" customFormat="false" ht="15" hidden="false" customHeight="true" outlineLevel="0" collapsed="false">
      <c r="A10" s="23" t="s">
        <v>81</v>
      </c>
      <c r="B10" s="92" t="n">
        <f aca="false">'Beverage Lines'!C9</f>
        <v>47</v>
      </c>
      <c r="C10" s="92" t="n">
        <f aca="false">'Dirty Soda - Built Drinks'!$B$13</f>
        <v>33</v>
      </c>
      <c r="D10" s="92" t="n">
        <f aca="false">B10+C10</f>
        <v>80</v>
      </c>
      <c r="E10" s="92" t="n">
        <f aca="false">Assumptions!$B$120</f>
        <v>8</v>
      </c>
      <c r="F10" s="93" t="n">
        <f aca="false">B10*E10+C10*G10-Assumptions!$B$263</f>
        <v>380</v>
      </c>
      <c r="G10" s="29" t="n">
        <f aca="false">'Dirty Soda - Built Drinks'!$E$13</f>
        <v>4</v>
      </c>
    </row>
    <row r="11" customFormat="false" ht="15" hidden="false" customHeight="true" outlineLevel="0" collapsed="false">
      <c r="A11" s="23" t="s">
        <v>1276</v>
      </c>
      <c r="B11" s="92" t="n">
        <f aca="false">'Beverage Lines'!C10</f>
        <v>40</v>
      </c>
      <c r="C11" s="92" t="s">
        <v>1319</v>
      </c>
      <c r="D11" s="92" t="n">
        <f aca="false">B11+C11</f>
        <v>40</v>
      </c>
      <c r="E11" s="92" t="n">
        <f aca="false">Assumptions!$B$120</f>
        <v>8</v>
      </c>
      <c r="F11" s="93" t="n">
        <f aca="false">B11*E11+C11*G11</f>
        <v>320</v>
      </c>
      <c r="G11" s="29" t="s">
        <v>1319</v>
      </c>
    </row>
    <row r="12" customFormat="false" ht="15" hidden="false" customHeight="true" outlineLevel="0" collapsed="false">
      <c r="A12" s="23" t="s">
        <v>43</v>
      </c>
      <c r="B12" s="92" t="n">
        <f aca="false">'Beverage Lines'!C11</f>
        <v>50</v>
      </c>
      <c r="C12" s="92" t="n">
        <f aca="false">'Dirty Soda - Built Drinks'!$B$4</f>
        <v>30</v>
      </c>
      <c r="D12" s="92" t="n">
        <f aca="false">B12+C12</f>
        <v>80</v>
      </c>
      <c r="E12" s="92" t="n">
        <f aca="false">Assumptions!$B$120</f>
        <v>8</v>
      </c>
      <c r="F12" s="93" t="n">
        <f aca="false">B12*E12+C12*G12</f>
        <v>580</v>
      </c>
      <c r="G12" s="29" t="n">
        <f aca="false">'Dirty Soda - Built Drinks'!$E$4</f>
        <v>6</v>
      </c>
    </row>
    <row r="13" customFormat="false" ht="15" hidden="false" customHeight="true" outlineLevel="0" collapsed="false">
      <c r="A13" s="23" t="s">
        <v>1321</v>
      </c>
      <c r="B13" s="92" t="n">
        <f aca="false">'Beverage Lines'!C12</f>
        <v>0</v>
      </c>
      <c r="C13" s="92" t="n">
        <f aca="false">'Dirty Soda - Built Drinks'!$B$14</f>
        <v>30</v>
      </c>
      <c r="D13" s="92" t="n">
        <f aca="false">B13+C13</f>
        <v>30</v>
      </c>
      <c r="E13" s="92" t="n">
        <f aca="false">Assumptions!$B$120</f>
        <v>8</v>
      </c>
      <c r="F13" s="93" t="n">
        <f aca="false">B13*E13+C13*G13</f>
        <v>120</v>
      </c>
      <c r="G13" s="29" t="n">
        <f aca="false">'Dirty Soda - Built Drinks'!$E$14</f>
        <v>4</v>
      </c>
    </row>
    <row r="14" customFormat="false" ht="62.25" hidden="false" customHeight="true" outlineLevel="0" collapsed="false">
      <c r="A14" s="94" t="s">
        <v>1322</v>
      </c>
      <c r="B14" s="95" t="n">
        <f aca="false">SUM(B7:B13)</f>
        <v>297</v>
      </c>
      <c r="C14" s="95" t="n">
        <f aca="false">SUM(C7:C13)</f>
        <v>143</v>
      </c>
      <c r="D14" s="95" t="n">
        <f aca="false">SUM(D7:D13)</f>
        <v>440</v>
      </c>
      <c r="E14" s="90"/>
      <c r="F14" s="96" t="n">
        <f aca="false">SUM(F7:F13)</f>
        <v>2880</v>
      </c>
      <c r="G14" s="6"/>
    </row>
    <row r="15" customFormat="false" ht="43.5" hidden="false" customHeight="true" outlineLevel="0" collapsed="false">
      <c r="A15" s="4" t="s">
        <v>1323</v>
      </c>
      <c r="B15" s="4"/>
      <c r="C15" s="4"/>
      <c r="D15" s="4"/>
      <c r="E15" s="4"/>
      <c r="F15" s="4"/>
      <c r="G15" s="4"/>
      <c r="H15" s="4"/>
      <c r="I15" s="4"/>
      <c r="J15" s="4"/>
      <c r="K15" s="4"/>
      <c r="L15" s="4"/>
      <c r="M15" s="4"/>
    </row>
    <row r="16" customFormat="false" ht="15" hidden="false" customHeight="true" outlineLevel="0" collapsed="false">
      <c r="A16" s="5" t="s">
        <v>1324</v>
      </c>
    </row>
    <row r="17" customFormat="false" ht="15" hidden="false" customHeight="true" outlineLevel="0" collapsed="false">
      <c r="A17" s="27" t="s">
        <v>1325</v>
      </c>
      <c r="B17" s="27" t="s">
        <v>875</v>
      </c>
      <c r="C17" s="27" t="s">
        <v>1326</v>
      </c>
      <c r="D17" s="27" t="s">
        <v>143</v>
      </c>
      <c r="E17" s="27" t="s">
        <v>1327</v>
      </c>
      <c r="F17" s="27" t="s">
        <v>1328</v>
      </c>
      <c r="G17" s="27" t="s">
        <v>1329</v>
      </c>
      <c r="H17" s="27" t="s">
        <v>876</v>
      </c>
      <c r="I17" s="27" t="s">
        <v>1330</v>
      </c>
      <c r="J17" s="27" t="s">
        <v>1331</v>
      </c>
    </row>
    <row r="18" customFormat="false" ht="15" hidden="false" customHeight="true" outlineLevel="0" collapsed="false">
      <c r="A18" s="23" t="s">
        <v>1269</v>
      </c>
      <c r="B18" s="93" t="n">
        <f aca="false">F7</f>
        <v>640</v>
      </c>
      <c r="C18" s="93" t="n">
        <f aca="false">B18*(1+'Packaged Prices'!$B$15)</f>
        <v>672</v>
      </c>
      <c r="D18" s="63" t="str">
        <f aca="false">'Packaged Prices'!$E$8</f>
        <v>12-pack, 12 oz cans</v>
      </c>
      <c r="E18" s="97" t="n">
        <f aca="false">'Packaged Prices'!$B$8</f>
        <v>144</v>
      </c>
      <c r="F18" s="64" t="n">
        <f aca="false">'Packaged Prices'!$C$8</f>
        <v>20</v>
      </c>
      <c r="G18" s="98" t="n">
        <f aca="false">CEILING(C18/E18,1)</f>
        <v>5</v>
      </c>
      <c r="H18" s="99" t="n">
        <f aca="false">G18*F18</f>
        <v>100</v>
      </c>
      <c r="I18" s="99" t="n">
        <f aca="false">'Beverage Lines'!B6*'Beverage Lines'!D6</f>
        <v>160</v>
      </c>
      <c r="J18" s="99" t="n">
        <f aca="false">H18-I18</f>
        <v>-60</v>
      </c>
    </row>
    <row r="19" customFormat="false" ht="15" hidden="false" customHeight="true" outlineLevel="0" collapsed="false">
      <c r="A19" s="23" t="s">
        <v>1332</v>
      </c>
      <c r="B19" s="93" t="n">
        <f aca="false">F8</f>
        <v>200</v>
      </c>
      <c r="C19" s="93" t="n">
        <f aca="false">B19*(1+'Packaged Prices'!$B$15)</f>
        <v>210</v>
      </c>
      <c r="D19" s="63" t="str">
        <f aca="false">'Packaged Prices'!$E$7</f>
        <v>6 x 14 oz variety pack</v>
      </c>
      <c r="E19" s="97" t="n">
        <f aca="false">'Packaged Prices'!$B$7</f>
        <v>84</v>
      </c>
      <c r="F19" s="64" t="n">
        <f aca="false">'Packaged Prices'!$C$7</f>
        <v>11.99</v>
      </c>
      <c r="G19" s="98" t="n">
        <f aca="false">$H$81</f>
        <v>5</v>
      </c>
      <c r="H19" s="99" t="n">
        <f aca="false">G19*F19</f>
        <v>59.95</v>
      </c>
      <c r="I19" s="99" t="n">
        <f aca="false">'Beverage Lines'!B7*'Beverage Lines'!D7</f>
        <v>130</v>
      </c>
      <c r="J19" s="99" t="n">
        <f aca="false">H19-I19</f>
        <v>-70.05</v>
      </c>
    </row>
    <row r="20" customFormat="false" ht="15" hidden="false" customHeight="true" outlineLevel="0" collapsed="false">
      <c r="A20" s="23" t="s">
        <v>1273</v>
      </c>
      <c r="B20" s="93" t="n">
        <f aca="false">F9</f>
        <v>640</v>
      </c>
      <c r="C20" s="93" t="n">
        <f aca="false">B20*(1+'Packaged Prices'!$B$15)</f>
        <v>672</v>
      </c>
      <c r="D20" s="63" t="str">
        <f aca="false">'Packaged Prices'!$E$9</f>
        <v>6-pack, 12 oz cans</v>
      </c>
      <c r="E20" s="97" t="n">
        <f aca="false">'Packaged Prices'!$B$9</f>
        <v>72</v>
      </c>
      <c r="F20" s="64" t="n">
        <f aca="false">'Packaged Prices'!$C$9</f>
        <v>12.99</v>
      </c>
      <c r="G20" s="98" t="n">
        <f aca="false">CEILING(C20/E20,1)</f>
        <v>10</v>
      </c>
      <c r="H20" s="99" t="n">
        <f aca="false">G20*F20</f>
        <v>129.9</v>
      </c>
      <c r="I20" s="99" t="n">
        <f aca="false">'Beverage Lines'!B8*'Beverage Lines'!D8</f>
        <v>190</v>
      </c>
      <c r="J20" s="99" t="n">
        <f aca="false">H20-I20</f>
        <v>-60.1</v>
      </c>
    </row>
    <row r="21" customFormat="false" ht="15" hidden="false" customHeight="true" outlineLevel="0" collapsed="false">
      <c r="A21" s="23" t="s">
        <v>81</v>
      </c>
      <c r="B21" s="93" t="n">
        <f aca="false">F10</f>
        <v>380</v>
      </c>
      <c r="C21" s="93" t="n">
        <f aca="false">B21*(1+'Packaged Prices'!$B$15)</f>
        <v>399</v>
      </c>
      <c r="D21" s="63" t="str">
        <f aca="false">'Packaged Prices'!$E$12</f>
        <v>12 x 16.9 oz bottles</v>
      </c>
      <c r="E21" s="97" t="n">
        <f aca="false">'Packaged Prices'!$B$12</f>
        <v>202.8</v>
      </c>
      <c r="F21" s="64" t="n">
        <f aca="false">'Packaged Prices'!$C$12</f>
        <v>18.59</v>
      </c>
      <c r="G21" s="98" t="n">
        <f aca="false">CEILING(C21/E21,1)</f>
        <v>2</v>
      </c>
      <c r="H21" s="99" t="n">
        <f aca="false">G21*F21</f>
        <v>37.18</v>
      </c>
      <c r="I21" s="99" t="n">
        <f aca="false">'Beverage Lines'!B9*'Beverage Lines'!D9</f>
        <v>130</v>
      </c>
      <c r="J21" s="99" t="n">
        <f aca="false">H21-I21</f>
        <v>-92.82</v>
      </c>
    </row>
    <row r="22" customFormat="false" ht="15" hidden="false" customHeight="true" outlineLevel="0" collapsed="false">
      <c r="A22" s="23" t="s">
        <v>1276</v>
      </c>
      <c r="B22" s="93" t="n">
        <f aca="false">F11</f>
        <v>320</v>
      </c>
      <c r="C22" s="93" t="n">
        <f aca="false">B22*(1+'Packaged Prices'!$B$15)</f>
        <v>336</v>
      </c>
      <c r="D22" s="63" t="str">
        <f aca="false">'Packaged Prices'!$E$10</f>
        <v>6-pack, 12 oz cans</v>
      </c>
      <c r="E22" s="97" t="n">
        <f aca="false">'Packaged Prices'!$B$10</f>
        <v>72</v>
      </c>
      <c r="F22" s="64" t="n">
        <f aca="false">'Packaged Prices'!$C$10</f>
        <v>10.49</v>
      </c>
      <c r="G22" s="98" t="n">
        <f aca="false">CEILING(C22/E22,1)</f>
        <v>5</v>
      </c>
      <c r="H22" s="99" t="n">
        <f aca="false">G22*F22</f>
        <v>52.45</v>
      </c>
      <c r="I22" s="99" t="n">
        <f aca="false">'Beverage Lines'!B10*'Beverage Lines'!D10</f>
        <v>117</v>
      </c>
      <c r="J22" s="99" t="n">
        <f aca="false">H22-I22</f>
        <v>-64.55</v>
      </c>
    </row>
    <row r="23" customFormat="false" ht="15" hidden="false" customHeight="true" outlineLevel="0" collapsed="false">
      <c r="A23" s="23" t="s">
        <v>43</v>
      </c>
      <c r="B23" s="93" t="n">
        <f aca="false">F12</f>
        <v>580</v>
      </c>
      <c r="C23" s="93" t="n">
        <f aca="false">B23*(1+'Packaged Prices'!$B$15)</f>
        <v>609</v>
      </c>
      <c r="D23" s="63" t="str">
        <f aca="false">'Packaged Prices'!$E$11</f>
        <v>24-pack, 12 oz cans</v>
      </c>
      <c r="E23" s="97" t="n">
        <f aca="false">'Packaged Prices'!$B$11</f>
        <v>288</v>
      </c>
      <c r="F23" s="64" t="n">
        <f aca="false">'Packaged Prices'!$C$11</f>
        <v>26.5</v>
      </c>
      <c r="G23" s="98" t="n">
        <f aca="false">CEILING(C23/E23,1)</f>
        <v>3</v>
      </c>
      <c r="H23" s="99" t="n">
        <f aca="false">G23*F23</f>
        <v>79.5</v>
      </c>
      <c r="I23" s="99" t="n">
        <f aca="false">'Beverage Lines'!B11*'Beverage Lines'!D11</f>
        <v>150</v>
      </c>
      <c r="J23" s="99" t="n">
        <f aca="false">H23-I23</f>
        <v>-70.5</v>
      </c>
    </row>
    <row r="24" customFormat="false" ht="15" hidden="false" customHeight="true" outlineLevel="0" collapsed="false">
      <c r="A24" s="23" t="s">
        <v>1333</v>
      </c>
      <c r="B24" s="93" t="n">
        <f aca="false">F13</f>
        <v>120</v>
      </c>
      <c r="C24" s="93" t="n">
        <f aca="false">B24*(1+'Packaged Prices'!$B$15)</f>
        <v>126</v>
      </c>
      <c r="D24" s="63" t="str">
        <f aca="false">'Packaged Prices'!$E$7</f>
        <v>6 x 14 oz variety pack</v>
      </c>
      <c r="E24" s="97" t="n">
        <f aca="false">'Packaged Prices'!$B$7</f>
        <v>84</v>
      </c>
      <c r="F24" s="64" t="n">
        <f aca="false">'Packaged Prices'!$C$7</f>
        <v>11.99</v>
      </c>
      <c r="G24" s="98" t="n">
        <v>0</v>
      </c>
      <c r="H24" s="99" t="n">
        <f aca="false">G24*F24</f>
        <v>0</v>
      </c>
      <c r="I24" s="99" t="n">
        <f aca="false">'Beverage Lines'!B12*'Beverage Lines'!D12</f>
        <v>130</v>
      </c>
      <c r="J24" s="99" t="n">
        <f aca="false">H24-I24</f>
        <v>-130</v>
      </c>
    </row>
    <row r="25" customFormat="false" ht="62.25" hidden="false" customHeight="true" outlineLevel="0" collapsed="false">
      <c r="A25" s="94" t="s">
        <v>1334</v>
      </c>
      <c r="B25" s="90"/>
      <c r="C25" s="96" t="n">
        <f aca="false">SUM(C18:C24)</f>
        <v>3024</v>
      </c>
      <c r="D25" s="90"/>
      <c r="E25" s="90"/>
      <c r="F25" s="90"/>
      <c r="G25" s="90"/>
      <c r="H25" s="100" t="n">
        <f aca="false">SUM(H18:H24)</f>
        <v>458.98</v>
      </c>
      <c r="I25" s="100" t="n">
        <f aca="false">SUM(I18:I24)</f>
        <v>1007</v>
      </c>
      <c r="J25" s="100" t="n">
        <f aca="false">SUM(J18:J24)</f>
        <v>-548.02</v>
      </c>
      <c r="K25" s="6" t="s">
        <v>1335</v>
      </c>
    </row>
    <row r="27" customFormat="false" ht="15" hidden="false" customHeight="true" outlineLevel="0" collapsed="false">
      <c r="A27" s="5" t="s">
        <v>1336</v>
      </c>
    </row>
    <row r="28" customFormat="false" ht="30" hidden="false" customHeight="true" outlineLevel="0" collapsed="false">
      <c r="A28" s="27" t="s">
        <v>1325</v>
      </c>
      <c r="B28" s="27" t="s">
        <v>1337</v>
      </c>
      <c r="C28" s="27" t="s">
        <v>1338</v>
      </c>
      <c r="D28" s="27" t="s">
        <v>1339</v>
      </c>
      <c r="E28" s="27" t="s">
        <v>1340</v>
      </c>
      <c r="F28" s="27" t="s">
        <v>875</v>
      </c>
      <c r="G28" s="27" t="s">
        <v>1326</v>
      </c>
      <c r="H28" s="27" t="s">
        <v>1327</v>
      </c>
      <c r="I28" s="27" t="s">
        <v>1328</v>
      </c>
      <c r="J28" s="27" t="s">
        <v>1329</v>
      </c>
      <c r="K28" s="27" t="s">
        <v>876</v>
      </c>
      <c r="L28" s="27" t="s">
        <v>1330</v>
      </c>
      <c r="M28" s="27" t="s">
        <v>1331</v>
      </c>
    </row>
    <row r="29" customFormat="false" ht="15" hidden="false" customHeight="true" outlineLevel="0" collapsed="false">
      <c r="A29" s="23" t="s">
        <v>1269</v>
      </c>
      <c r="B29" s="92" t="n">
        <f aca="false">B7</f>
        <v>80</v>
      </c>
      <c r="C29" s="92" t="n">
        <f aca="false">'Packaged Prices'!$B$17</f>
        <v>12</v>
      </c>
      <c r="D29" s="92" t="str">
        <f aca="false">C7</f>
        <v>0</v>
      </c>
      <c r="E29" s="92" t="str">
        <f aca="false">G7</f>
        <v>0</v>
      </c>
      <c r="F29" s="93" t="n">
        <f aca="false">B29*C29+D29*E29</f>
        <v>960</v>
      </c>
      <c r="G29" s="93" t="n">
        <f aca="false">F29*(1+'Packaged Prices'!$B$15)</f>
        <v>1008</v>
      </c>
      <c r="H29" s="97" t="n">
        <f aca="false">'Packaged Prices'!$B$8</f>
        <v>144</v>
      </c>
      <c r="I29" s="64" t="n">
        <f aca="false">'Packaged Prices'!$C$8</f>
        <v>20</v>
      </c>
      <c r="J29" s="98" t="n">
        <f aca="false">CEILING(G29/H29,1)</f>
        <v>7</v>
      </c>
      <c r="K29" s="99" t="n">
        <f aca="false">J29*I29</f>
        <v>140</v>
      </c>
      <c r="L29" s="99" t="n">
        <f aca="false">'Beverage Lines'!B6*'Beverage Lines'!D6</f>
        <v>160</v>
      </c>
      <c r="M29" s="99" t="n">
        <f aca="false">K29-L29</f>
        <v>-20</v>
      </c>
    </row>
    <row r="30" customFormat="false" ht="15" hidden="false" customHeight="true" outlineLevel="0" collapsed="false">
      <c r="A30" s="23" t="s">
        <v>1332</v>
      </c>
      <c r="B30" s="92" t="n">
        <f aca="false">B8</f>
        <v>0</v>
      </c>
      <c r="C30" s="92" t="n">
        <f aca="false">Assumptions!$B$120</f>
        <v>8</v>
      </c>
      <c r="D30" s="92" t="n">
        <f aca="false">C8</f>
        <v>50</v>
      </c>
      <c r="E30" s="92" t="n">
        <f aca="false">G8</f>
        <v>4</v>
      </c>
      <c r="F30" s="93" t="n">
        <f aca="false">B30*C30+D30*E30</f>
        <v>200</v>
      </c>
      <c r="G30" s="93" t="n">
        <f aca="false">F30*(1+'Packaged Prices'!$B$15)</f>
        <v>210</v>
      </c>
      <c r="H30" s="97" t="n">
        <f aca="false">'Packaged Prices'!$B$7</f>
        <v>84</v>
      </c>
      <c r="I30" s="64" t="n">
        <f aca="false">'Packaged Prices'!$C$7</f>
        <v>11.99</v>
      </c>
      <c r="J30" s="98" t="n">
        <f aca="false">$H$81</f>
        <v>5</v>
      </c>
      <c r="K30" s="99" t="n">
        <f aca="false">J30*I30</f>
        <v>59.95</v>
      </c>
      <c r="L30" s="99" t="n">
        <f aca="false">'Beverage Lines'!B7*'Beverage Lines'!D7</f>
        <v>130</v>
      </c>
      <c r="M30" s="99" t="n">
        <f aca="false">K30-L30</f>
        <v>-70.05</v>
      </c>
    </row>
    <row r="31" customFormat="false" ht="15" hidden="false" customHeight="true" outlineLevel="0" collapsed="false">
      <c r="A31" s="23" t="s">
        <v>1273</v>
      </c>
      <c r="B31" s="92" t="n">
        <f aca="false">B9</f>
        <v>80</v>
      </c>
      <c r="C31" s="92" t="n">
        <f aca="false">'Packaged Prices'!$B$17</f>
        <v>12</v>
      </c>
      <c r="D31" s="92" t="str">
        <f aca="false">C9</f>
        <v>0</v>
      </c>
      <c r="E31" s="92" t="str">
        <f aca="false">G9</f>
        <v>0</v>
      </c>
      <c r="F31" s="93" t="n">
        <f aca="false">B31*C31+D31*E31</f>
        <v>960</v>
      </c>
      <c r="G31" s="93" t="n">
        <f aca="false">F31*(1+'Packaged Prices'!$B$15)</f>
        <v>1008</v>
      </c>
      <c r="H31" s="97" t="n">
        <f aca="false">'Packaged Prices'!$B$9</f>
        <v>72</v>
      </c>
      <c r="I31" s="64" t="n">
        <f aca="false">'Packaged Prices'!$C$9</f>
        <v>12.99</v>
      </c>
      <c r="J31" s="98" t="n">
        <f aca="false">CEILING(G31/H31,1)</f>
        <v>14</v>
      </c>
      <c r="K31" s="99" t="n">
        <f aca="false">J31*I31</f>
        <v>181.86</v>
      </c>
      <c r="L31" s="99" t="n">
        <f aca="false">'Beverage Lines'!B8*'Beverage Lines'!D8</f>
        <v>190</v>
      </c>
      <c r="M31" s="99" t="n">
        <f aca="false">K31-L31</f>
        <v>-8.13999999999999</v>
      </c>
    </row>
    <row r="32" customFormat="false" ht="15" hidden="false" customHeight="true" outlineLevel="0" collapsed="false">
      <c r="A32" s="23" t="s">
        <v>81</v>
      </c>
      <c r="B32" s="92" t="n">
        <f aca="false">B10</f>
        <v>47</v>
      </c>
      <c r="C32" s="92" t="n">
        <f aca="false">Assumptions!$B$120</f>
        <v>8</v>
      </c>
      <c r="D32" s="92" t="n">
        <f aca="false">C10</f>
        <v>33</v>
      </c>
      <c r="E32" s="92" t="n">
        <f aca="false">G10</f>
        <v>4</v>
      </c>
      <c r="F32" s="93" t="n">
        <f aca="false">B32*C32+D32*E32-Assumptions!$B$263</f>
        <v>380</v>
      </c>
      <c r="G32" s="93" t="n">
        <f aca="false">F32*(1+'Packaged Prices'!$B$15)</f>
        <v>399</v>
      </c>
      <c r="H32" s="97" t="n">
        <f aca="false">'Packaged Prices'!$B$12</f>
        <v>202.8</v>
      </c>
      <c r="I32" s="64" t="n">
        <f aca="false">'Packaged Prices'!$C$12</f>
        <v>18.59</v>
      </c>
      <c r="J32" s="98" t="n">
        <f aca="false">CEILING(G32/H32,1)</f>
        <v>2</v>
      </c>
      <c r="K32" s="99" t="n">
        <f aca="false">J32*I32</f>
        <v>37.18</v>
      </c>
      <c r="L32" s="99" t="n">
        <f aca="false">'Beverage Lines'!B9*'Beverage Lines'!D9</f>
        <v>130</v>
      </c>
      <c r="M32" s="99" t="n">
        <f aca="false">K32-L32</f>
        <v>-92.82</v>
      </c>
    </row>
    <row r="33" customFormat="false" ht="15" hidden="false" customHeight="true" outlineLevel="0" collapsed="false">
      <c r="A33" s="23" t="s">
        <v>1276</v>
      </c>
      <c r="B33" s="92" t="n">
        <f aca="false">B11</f>
        <v>40</v>
      </c>
      <c r="C33" s="92" t="n">
        <f aca="false">'Packaged Prices'!$B$17</f>
        <v>12</v>
      </c>
      <c r="D33" s="92" t="str">
        <f aca="false">C11</f>
        <v>0</v>
      </c>
      <c r="E33" s="92" t="str">
        <f aca="false">G11</f>
        <v>0</v>
      </c>
      <c r="F33" s="93" t="n">
        <f aca="false">B33*C33+D33*E33</f>
        <v>480</v>
      </c>
      <c r="G33" s="93" t="n">
        <f aca="false">F33*(1+'Packaged Prices'!$B$15)</f>
        <v>504</v>
      </c>
      <c r="H33" s="97" t="n">
        <f aca="false">'Packaged Prices'!$B$10</f>
        <v>72</v>
      </c>
      <c r="I33" s="64" t="n">
        <f aca="false">'Packaged Prices'!$C$10</f>
        <v>10.49</v>
      </c>
      <c r="J33" s="98" t="n">
        <f aca="false">CEILING(G33/H33,1)</f>
        <v>7</v>
      </c>
      <c r="K33" s="99" t="n">
        <f aca="false">J33*I33</f>
        <v>73.43</v>
      </c>
      <c r="L33" s="99" t="n">
        <f aca="false">'Beverage Lines'!B10*'Beverage Lines'!D10</f>
        <v>117</v>
      </c>
      <c r="M33" s="99" t="n">
        <f aca="false">K33-L33</f>
        <v>-43.57</v>
      </c>
    </row>
    <row r="34" customFormat="false" ht="15" hidden="false" customHeight="true" outlineLevel="0" collapsed="false">
      <c r="A34" s="23" t="s">
        <v>43</v>
      </c>
      <c r="B34" s="92" t="n">
        <f aca="false">B12</f>
        <v>50</v>
      </c>
      <c r="C34" s="92" t="n">
        <f aca="false">'Packaged Prices'!$B$17</f>
        <v>12</v>
      </c>
      <c r="D34" s="92" t="n">
        <f aca="false">C12</f>
        <v>30</v>
      </c>
      <c r="E34" s="92" t="n">
        <f aca="false">G12</f>
        <v>6</v>
      </c>
      <c r="F34" s="93" t="n">
        <f aca="false">B34*C34+D34*E34</f>
        <v>780</v>
      </c>
      <c r="G34" s="93" t="n">
        <f aca="false">F34*(1+'Packaged Prices'!$B$15)</f>
        <v>819</v>
      </c>
      <c r="H34" s="97" t="n">
        <f aca="false">'Packaged Prices'!$B$11</f>
        <v>288</v>
      </c>
      <c r="I34" s="64" t="n">
        <f aca="false">'Packaged Prices'!$C$11</f>
        <v>26.5</v>
      </c>
      <c r="J34" s="98" t="n">
        <f aca="false">CEILING(G34/H34,1)</f>
        <v>3</v>
      </c>
      <c r="K34" s="99" t="n">
        <f aca="false">J34*I34</f>
        <v>79.5</v>
      </c>
      <c r="L34" s="99" t="n">
        <f aca="false">'Beverage Lines'!B11*'Beverage Lines'!D11</f>
        <v>150</v>
      </c>
      <c r="M34" s="99" t="n">
        <f aca="false">K34-L34</f>
        <v>-70.5</v>
      </c>
    </row>
    <row r="35" customFormat="false" ht="15" hidden="false" customHeight="true" outlineLevel="0" collapsed="false">
      <c r="A35" s="23" t="s">
        <v>1341</v>
      </c>
      <c r="B35" s="92" t="n">
        <f aca="false">B13</f>
        <v>0</v>
      </c>
      <c r="C35" s="92" t="n">
        <f aca="false">Assumptions!$B$120</f>
        <v>8</v>
      </c>
      <c r="D35" s="92" t="n">
        <f aca="false">C13</f>
        <v>30</v>
      </c>
      <c r="E35" s="92" t="n">
        <f aca="false">G13</f>
        <v>4</v>
      </c>
      <c r="F35" s="93" t="n">
        <f aca="false">B35*C35+D35*E35</f>
        <v>120</v>
      </c>
      <c r="G35" s="93" t="n">
        <f aca="false">F35*(1+'Packaged Prices'!$B$15)</f>
        <v>126</v>
      </c>
      <c r="H35" s="97" t="n">
        <f aca="false">'Packaged Prices'!$B$7</f>
        <v>84</v>
      </c>
      <c r="I35" s="64" t="n">
        <f aca="false">'Packaged Prices'!$C$7</f>
        <v>11.99</v>
      </c>
      <c r="J35" s="98" t="n">
        <v>0</v>
      </c>
      <c r="K35" s="99" t="n">
        <f aca="false">J35*I35</f>
        <v>0</v>
      </c>
      <c r="L35" s="99" t="n">
        <f aca="false">'Beverage Lines'!B12*'Beverage Lines'!D12</f>
        <v>130</v>
      </c>
      <c r="M35" s="99" t="n">
        <f aca="false">K35-L35</f>
        <v>-130</v>
      </c>
    </row>
    <row r="36" customFormat="false" ht="15" hidden="false" customHeight="true" outlineLevel="0" collapsed="false">
      <c r="A36" s="94" t="s">
        <v>1342</v>
      </c>
      <c r="B36" s="90"/>
      <c r="C36" s="90"/>
      <c r="D36" s="90"/>
      <c r="E36" s="90"/>
      <c r="F36" s="90"/>
      <c r="G36" s="96" t="n">
        <f aca="false">SUM(G29:G35)</f>
        <v>4074</v>
      </c>
      <c r="H36" s="90"/>
      <c r="I36" s="90"/>
      <c r="J36" s="90"/>
      <c r="K36" s="100" t="n">
        <f aca="false">SUM(K29:K35)</f>
        <v>571.92</v>
      </c>
      <c r="L36" s="100" t="n">
        <f aca="false">SUM(L29:L35)</f>
        <v>1007</v>
      </c>
      <c r="M36" s="100" t="n">
        <f aca="false">SUM(M29:M35)</f>
        <v>-435.08</v>
      </c>
    </row>
    <row r="37" customFormat="false" ht="99.75" hidden="false" customHeight="true" outlineLevel="0" collapsed="false">
      <c r="A37" s="6" t="s">
        <v>1343</v>
      </c>
    </row>
    <row r="38" customFormat="false" ht="15" hidden="false" customHeight="true" outlineLevel="0" collapsed="false">
      <c r="A38" s="5" t="s">
        <v>1344</v>
      </c>
    </row>
    <row r="39" customFormat="false" ht="15" hidden="false" customHeight="true" outlineLevel="0" collapsed="false">
      <c r="A39" s="27" t="s">
        <v>1345</v>
      </c>
      <c r="B39" s="27" t="s">
        <v>1329</v>
      </c>
      <c r="C39" s="27" t="s">
        <v>297</v>
      </c>
      <c r="D39" s="27" t="s">
        <v>876</v>
      </c>
    </row>
    <row r="40" customFormat="false" ht="15" hidden="false" customHeight="true" outlineLevel="0" collapsed="false">
      <c r="A40" s="23" t="s">
        <v>1269</v>
      </c>
      <c r="B40" s="98" t="n">
        <f aca="false">IF('Packaged Prices'!$B$16=1,J29,G18)</f>
        <v>7</v>
      </c>
      <c r="C40" s="63" t="s">
        <v>1346</v>
      </c>
      <c r="D40" s="99" t="n">
        <f aca="false">IF('Packaged Prices'!$B$16=1,K29,H18)</f>
        <v>140</v>
      </c>
    </row>
    <row r="41" customFormat="false" ht="15" hidden="false" customHeight="true" outlineLevel="0" collapsed="false">
      <c r="A41" s="23" t="s">
        <v>1347</v>
      </c>
      <c r="B41" s="98" t="n">
        <f aca="false">IF('Packaged Prices'!$B$16=1,J30,G19)</f>
        <v>5</v>
      </c>
      <c r="C41" s="63" t="s">
        <v>1348</v>
      </c>
      <c r="D41" s="99" t="n">
        <f aca="false">IF('Packaged Prices'!$B$16=1,K30,H19)</f>
        <v>59.95</v>
      </c>
    </row>
    <row r="42" customFormat="false" ht="15" hidden="false" customHeight="true" outlineLevel="0" collapsed="false">
      <c r="A42" s="23" t="s">
        <v>1273</v>
      </c>
      <c r="B42" s="98" t="n">
        <f aca="false">IF('Packaged Prices'!$B$16=1,J31,G20)</f>
        <v>14</v>
      </c>
      <c r="C42" s="63" t="s">
        <v>1349</v>
      </c>
      <c r="D42" s="99" t="n">
        <f aca="false">IF('Packaged Prices'!$B$16=1,K31,H20)</f>
        <v>181.86</v>
      </c>
    </row>
    <row r="43" customFormat="false" ht="15" hidden="false" customHeight="true" outlineLevel="0" collapsed="false">
      <c r="A43" s="23" t="s">
        <v>81</v>
      </c>
      <c r="B43" s="98" t="n">
        <f aca="false">IF('Packaged Prices'!$B$16=1,J32,G21)</f>
        <v>2</v>
      </c>
      <c r="C43" s="63" t="s">
        <v>1350</v>
      </c>
      <c r="D43" s="99" t="n">
        <f aca="false">IF('Packaged Prices'!$B$16=1,K32,H21)</f>
        <v>37.18</v>
      </c>
    </row>
    <row r="44" customFormat="false" ht="15" hidden="false" customHeight="true" outlineLevel="0" collapsed="false">
      <c r="A44" s="23" t="s">
        <v>1276</v>
      </c>
      <c r="B44" s="98" t="n">
        <f aca="false">IF('Packaged Prices'!$B$16=1,J33,G22)</f>
        <v>7</v>
      </c>
      <c r="C44" s="63" t="s">
        <v>1349</v>
      </c>
      <c r="D44" s="99" t="n">
        <f aca="false">IF('Packaged Prices'!$B$16=1,K33,H22)</f>
        <v>73.43</v>
      </c>
    </row>
    <row r="45" customFormat="false" ht="15" hidden="false" customHeight="true" outlineLevel="0" collapsed="false">
      <c r="A45" s="23" t="s">
        <v>43</v>
      </c>
      <c r="B45" s="98" t="n">
        <f aca="false">IF('Packaged Prices'!$B$16=1,J34,G23)</f>
        <v>3</v>
      </c>
      <c r="C45" s="63" t="s">
        <v>1351</v>
      </c>
      <c r="D45" s="99" t="n">
        <f aca="false">IF('Packaged Prices'!$B$16=1,K34,H23)</f>
        <v>79.5</v>
      </c>
    </row>
    <row r="46" customFormat="false" ht="15" hidden="false" customHeight="true" outlineLevel="0" collapsed="false">
      <c r="A46" s="23" t="s">
        <v>1352</v>
      </c>
      <c r="B46" s="98" t="n">
        <f aca="false">IF('Packaged Prices'!$B$16=1,J35,G24)</f>
        <v>0</v>
      </c>
      <c r="C46" s="63" t="s">
        <v>1353</v>
      </c>
      <c r="D46" s="99" t="n">
        <f aca="false">IF('Packaged Prices'!$B$16=1,K35,H24)</f>
        <v>0</v>
      </c>
    </row>
    <row r="47" customFormat="false" ht="87" hidden="false" customHeight="true" outlineLevel="0" collapsed="false">
      <c r="A47" s="94" t="s">
        <v>1354</v>
      </c>
      <c r="B47" s="90"/>
      <c r="C47" s="90"/>
      <c r="D47" s="100" t="n">
        <f aca="false">SUM(D40:D46)</f>
        <v>571.92</v>
      </c>
      <c r="F47" s="6" t="s">
        <v>1355</v>
      </c>
    </row>
    <row r="50" customFormat="false" ht="15" hidden="false" customHeight="true" outlineLevel="0" collapsed="false">
      <c r="A50" s="5" t="s">
        <v>1356</v>
      </c>
    </row>
    <row r="51" customFormat="false" ht="30" hidden="false" customHeight="true" outlineLevel="0" collapsed="false">
      <c r="A51" s="27" t="s">
        <v>1357</v>
      </c>
      <c r="B51" s="27" t="s">
        <v>1358</v>
      </c>
      <c r="C51" s="27" t="s">
        <v>1359</v>
      </c>
      <c r="D51" s="27" t="s">
        <v>1360</v>
      </c>
      <c r="E51" s="27"/>
      <c r="F51" s="27" t="s">
        <v>216</v>
      </c>
    </row>
    <row r="52" customFormat="false" ht="50.25" hidden="false" customHeight="true" outlineLevel="0" collapsed="false">
      <c r="A52" s="23" t="s">
        <v>1361</v>
      </c>
      <c r="B52" s="99" t="n">
        <f aca="false">I25</f>
        <v>1007</v>
      </c>
      <c r="C52" s="99" t="n">
        <f aca="false">H25</f>
        <v>458.98</v>
      </c>
      <c r="D52" s="99" t="n">
        <f aca="false">K36</f>
        <v>571.92</v>
      </c>
      <c r="F52" s="6" t="s">
        <v>1362</v>
      </c>
    </row>
    <row r="53" customFormat="false" ht="62.25" hidden="false" customHeight="true" outlineLevel="0" collapsed="false">
      <c r="A53" s="23" t="s">
        <v>1363</v>
      </c>
      <c r="B53" s="99" t="n">
        <f aca="false">Assumptions!$B$34*Assumptions!$B$33</f>
        <v>450</v>
      </c>
      <c r="C53" s="99" t="n">
        <v>0</v>
      </c>
      <c r="D53" s="99" t="n">
        <v>0</v>
      </c>
      <c r="F53" s="6" t="s">
        <v>1364</v>
      </c>
    </row>
    <row r="54" customFormat="false" ht="50.25" hidden="false" customHeight="true" outlineLevel="0" collapsed="false">
      <c r="A54" s="23" t="s">
        <v>1365</v>
      </c>
      <c r="B54" s="99" t="n">
        <f aca="false">Assumptions!$B$36*Assumptions!$B$35</f>
        <v>118</v>
      </c>
      <c r="C54" s="99" t="n">
        <v>0</v>
      </c>
      <c r="D54" s="99" t="n">
        <v>0</v>
      </c>
      <c r="F54" s="6" t="s">
        <v>1366</v>
      </c>
    </row>
    <row r="55" customFormat="false" ht="25.5" hidden="false" customHeight="true" outlineLevel="0" collapsed="false">
      <c r="A55" s="23" t="s">
        <v>1367</v>
      </c>
      <c r="B55" s="99" t="n">
        <f aca="false">20</f>
        <v>20</v>
      </c>
      <c r="C55" s="99" t="n">
        <v>0</v>
      </c>
      <c r="D55" s="99" t="n">
        <v>0</v>
      </c>
      <c r="F55" s="6" t="s">
        <v>1368</v>
      </c>
    </row>
    <row r="56" customFormat="false" ht="15" hidden="false" customHeight="true" outlineLevel="0" collapsed="false">
      <c r="A56" s="94" t="s">
        <v>320</v>
      </c>
      <c r="B56" s="100" t="n">
        <f aca="false">SUM(B52:B55)</f>
        <v>1595</v>
      </c>
      <c r="C56" s="100" t="n">
        <f aca="false">SUM(C52:C55)</f>
        <v>458.98</v>
      </c>
      <c r="D56" s="100" t="n">
        <f aca="false">SUM(D52:D55)</f>
        <v>571.92</v>
      </c>
      <c r="E56" s="90"/>
    </row>
    <row r="57" customFormat="false" ht="15" hidden="false" customHeight="true" outlineLevel="0" collapsed="false">
      <c r="A57" s="23" t="s">
        <v>1369</v>
      </c>
      <c r="C57" s="68" t="n">
        <f aca="false">B56-C56</f>
        <v>1136.02</v>
      </c>
      <c r="D57" s="68" t="n">
        <f aca="false">B56-D56</f>
        <v>1023.08</v>
      </c>
    </row>
    <row r="58" customFormat="false" ht="15" hidden="false" customHeight="true" outlineLevel="0" collapsed="false">
      <c r="A58" s="23" t="s">
        <v>1370</v>
      </c>
      <c r="C58" s="101" t="n">
        <f aca="false">C57/$B$56</f>
        <v>0.712238244514107</v>
      </c>
      <c r="D58" s="101" t="n">
        <f aca="false">D57/$B$56</f>
        <v>0.641429467084639</v>
      </c>
    </row>
    <row r="59" customFormat="false" ht="15" hidden="false" customHeight="true" outlineLevel="0" collapsed="false">
      <c r="A59" s="23" t="s">
        <v>1371</v>
      </c>
      <c r="C59" s="64" t="n">
        <f aca="false">C57/$D$14</f>
        <v>2.58186363636364</v>
      </c>
      <c r="D59" s="64" t="n">
        <f aca="false">D57/$D$14</f>
        <v>2.32518181818182</v>
      </c>
    </row>
    <row r="61" customFormat="false" ht="149.25" hidden="false" customHeight="true" outlineLevel="0" collapsed="false">
      <c r="A61" s="23" t="s">
        <v>1372</v>
      </c>
      <c r="B61" s="99" t="n">
        <f aca="false">'Beverage Lines'!B13*Assumptions!$B$32</f>
        <v>350</v>
      </c>
      <c r="F61" s="6" t="s">
        <v>1373</v>
      </c>
    </row>
    <row r="63" customFormat="false" ht="136.5" hidden="false" customHeight="true" outlineLevel="0" collapsed="false">
      <c r="A63" s="23" t="s">
        <v>1374</v>
      </c>
      <c r="B63" s="68" t="n">
        <f aca="false">'Totals by Type'!$D$14</f>
        <v>3940.95142857143</v>
      </c>
      <c r="F63" s="6" t="s">
        <v>1375</v>
      </c>
    </row>
    <row r="65" customFormat="false" ht="15" hidden="false" customHeight="true" outlineLevel="0" collapsed="false">
      <c r="A65" s="5" t="s">
        <v>1376</v>
      </c>
    </row>
    <row r="66" customFormat="false" ht="45.75" hidden="false" customHeight="true" outlineLevel="0" collapsed="false">
      <c r="A66" s="4" t="s">
        <v>1377</v>
      </c>
      <c r="B66" s="4"/>
      <c r="C66" s="4"/>
      <c r="D66" s="4"/>
      <c r="E66" s="4"/>
      <c r="F66" s="4"/>
      <c r="G66" s="4"/>
      <c r="H66" s="4"/>
      <c r="I66" s="4"/>
      <c r="J66" s="4"/>
      <c r="K66" s="4"/>
      <c r="L66" s="4"/>
      <c r="M66" s="4"/>
    </row>
    <row r="67" customFormat="false" ht="45.75" hidden="false" customHeight="true" outlineLevel="0" collapsed="false">
      <c r="A67" s="4" t="s">
        <v>1378</v>
      </c>
      <c r="B67" s="4"/>
      <c r="C67" s="4"/>
      <c r="D67" s="4"/>
      <c r="E67" s="4"/>
      <c r="F67" s="4"/>
      <c r="G67" s="4"/>
      <c r="H67" s="4"/>
      <c r="I67" s="4"/>
      <c r="J67" s="4"/>
      <c r="K67" s="4"/>
      <c r="L67" s="4"/>
      <c r="M67" s="4"/>
    </row>
    <row r="68" customFormat="false" ht="45.75" hidden="false" customHeight="true" outlineLevel="0" collapsed="false">
      <c r="A68" s="4" t="s">
        <v>1379</v>
      </c>
      <c r="B68" s="4"/>
      <c r="C68" s="4"/>
      <c r="D68" s="4"/>
      <c r="E68" s="4"/>
      <c r="F68" s="4"/>
      <c r="G68" s="4"/>
      <c r="H68" s="4"/>
      <c r="I68" s="4"/>
      <c r="J68" s="4"/>
      <c r="K68" s="4"/>
      <c r="L68" s="4"/>
      <c r="M68" s="4"/>
    </row>
    <row r="69" customFormat="false" ht="45.75" hidden="false" customHeight="true" outlineLevel="0" collapsed="false">
      <c r="A69" s="4" t="s">
        <v>1380</v>
      </c>
      <c r="B69" s="4"/>
      <c r="C69" s="4"/>
      <c r="D69" s="4"/>
      <c r="E69" s="4"/>
      <c r="F69" s="4"/>
      <c r="G69" s="4"/>
      <c r="H69" s="4"/>
      <c r="I69" s="4"/>
      <c r="J69" s="4"/>
      <c r="K69" s="4"/>
      <c r="L69" s="4"/>
      <c r="M69" s="4"/>
    </row>
    <row r="70" customFormat="false" ht="45.75" hidden="false" customHeight="true" outlineLevel="0" collapsed="false">
      <c r="A70" s="4" t="s">
        <v>1381</v>
      </c>
      <c r="B70" s="4"/>
      <c r="C70" s="4"/>
      <c r="D70" s="4"/>
      <c r="E70" s="4"/>
      <c r="F70" s="4"/>
      <c r="G70" s="4"/>
      <c r="H70" s="4"/>
      <c r="I70" s="4"/>
      <c r="J70" s="4"/>
      <c r="K70" s="4"/>
      <c r="L70" s="4"/>
      <c r="M70" s="4"/>
    </row>
    <row r="71" customFormat="false" ht="45.75" hidden="false" customHeight="true" outlineLevel="0" collapsed="false">
      <c r="A71" s="4" t="s">
        <v>1382</v>
      </c>
      <c r="B71" s="4"/>
      <c r="C71" s="4"/>
      <c r="D71" s="4"/>
      <c r="E71" s="4"/>
      <c r="F71" s="4"/>
      <c r="G71" s="4"/>
      <c r="H71" s="4"/>
      <c r="I71" s="4"/>
      <c r="J71" s="4"/>
      <c r="K71" s="4"/>
      <c r="L71" s="4"/>
      <c r="M71" s="4"/>
    </row>
    <row r="72" customFormat="false" ht="45.75" hidden="false" customHeight="true" outlineLevel="0" collapsed="false">
      <c r="A72" s="4" t="s">
        <v>1383</v>
      </c>
      <c r="B72" s="4"/>
      <c r="C72" s="4"/>
      <c r="D72" s="4"/>
      <c r="E72" s="4"/>
      <c r="F72" s="4"/>
      <c r="G72" s="4"/>
      <c r="H72" s="4"/>
      <c r="I72" s="4"/>
      <c r="J72" s="4"/>
      <c r="K72" s="4"/>
      <c r="L72" s="4"/>
      <c r="M72" s="4"/>
    </row>
    <row r="73" customFormat="false" ht="45.75" hidden="false" customHeight="true" outlineLevel="0" collapsed="false">
      <c r="A73" s="4" t="s">
        <v>1384</v>
      </c>
      <c r="B73" s="4"/>
      <c r="C73" s="4"/>
      <c r="D73" s="4"/>
      <c r="E73" s="4"/>
      <c r="F73" s="4"/>
      <c r="G73" s="4"/>
      <c r="H73" s="4"/>
      <c r="I73" s="4"/>
      <c r="J73" s="4"/>
      <c r="K73" s="4"/>
      <c r="L73" s="4"/>
      <c r="M73" s="4"/>
    </row>
    <row r="75" customFormat="false" ht="15" hidden="false" customHeight="true" outlineLevel="0" collapsed="false">
      <c r="A75" s="1" t="s">
        <v>1385</v>
      </c>
    </row>
    <row r="76" customFormat="false" ht="15" hidden="false" customHeight="true" outlineLevel="0" collapsed="false">
      <c r="A76" s="1" t="s">
        <v>1386</v>
      </c>
    </row>
    <row r="77" customFormat="false" ht="15" hidden="false" customHeight="true" outlineLevel="0" collapsed="false">
      <c r="A77" s="1" t="s">
        <v>1387</v>
      </c>
      <c r="B77" s="1" t="s">
        <v>1388</v>
      </c>
      <c r="C77" s="1" t="s">
        <v>21</v>
      </c>
      <c r="D77" s="1" t="s">
        <v>1389</v>
      </c>
      <c r="E77" s="1" t="s">
        <v>875</v>
      </c>
      <c r="F77" s="1" t="s">
        <v>1326</v>
      </c>
      <c r="G77" s="1" t="s">
        <v>1390</v>
      </c>
      <c r="H77" s="1" t="s">
        <v>1391</v>
      </c>
    </row>
    <row r="78" customFormat="false" ht="15" hidden="false" customHeight="true" outlineLevel="0" collapsed="false">
      <c r="A78" s="1" t="s">
        <v>1392</v>
      </c>
      <c r="B78" s="1" t="s">
        <v>35</v>
      </c>
      <c r="C78" s="29" t="n">
        <f aca="false">'Dirty Soda - Built Drinks'!$B$3</f>
        <v>30</v>
      </c>
      <c r="D78" s="57" t="n">
        <f aca="false">'Dirty Soda - Built Drinks'!$E$3</f>
        <v>4</v>
      </c>
      <c r="E78" s="1" t="n">
        <f aca="false">C78*D78</f>
        <v>120</v>
      </c>
      <c r="F78" s="1" t="n">
        <f aca="false">E78*(1+'Packaged Prices'!$B$15)</f>
        <v>126</v>
      </c>
      <c r="G78" s="1" t="n">
        <v>28</v>
      </c>
      <c r="H78" s="1" t="n">
        <f aca="false">CEILING(F78/G78,1)</f>
        <v>5</v>
      </c>
    </row>
    <row r="79" customFormat="false" ht="15" hidden="false" customHeight="true" outlineLevel="0" collapsed="false">
      <c r="A79" s="1" t="s">
        <v>1393</v>
      </c>
      <c r="B79" s="1" t="s">
        <v>85</v>
      </c>
      <c r="C79" s="29" t="n">
        <f aca="false">'Dirty Soda - Built Drinks'!$B$14</f>
        <v>30</v>
      </c>
      <c r="D79" s="57" t="n">
        <f aca="false">'Dirty Soda - Built Drinks'!$E$14</f>
        <v>4</v>
      </c>
      <c r="E79" s="1" t="n">
        <f aca="false">C79*D79</f>
        <v>120</v>
      </c>
      <c r="F79" s="1" t="n">
        <f aca="false">E79*(1+'Packaged Prices'!$B$15)</f>
        <v>126</v>
      </c>
      <c r="G79" s="1" t="n">
        <v>28</v>
      </c>
      <c r="H79" s="1" t="n">
        <f aca="false">CEILING(F79/G79,1)</f>
        <v>5</v>
      </c>
    </row>
    <row r="80" customFormat="false" ht="15" hidden="false" customHeight="true" outlineLevel="0" collapsed="false">
      <c r="A80" s="1" t="s">
        <v>1394</v>
      </c>
      <c r="B80" s="1" t="s">
        <v>72</v>
      </c>
      <c r="C80" s="29" t="n">
        <f aca="false">'Dirty Soda - Built Drinks'!$B$11</f>
        <v>20</v>
      </c>
      <c r="D80" s="57" t="n">
        <f aca="false">'Dirty Soda - Built Drinks'!$E$11</f>
        <v>4</v>
      </c>
      <c r="E80" s="1" t="n">
        <f aca="false">C80*D80</f>
        <v>80</v>
      </c>
      <c r="F80" s="1" t="n">
        <f aca="false">E80*(1+'Packaged Prices'!$B$15)</f>
        <v>84</v>
      </c>
      <c r="G80" s="1" t="n">
        <v>28</v>
      </c>
      <c r="H80" s="1" t="n">
        <f aca="false">CEILING(F80/G80,1)</f>
        <v>3</v>
      </c>
    </row>
    <row r="81" customFormat="false" ht="15" hidden="false" customHeight="true" outlineLevel="0" collapsed="false">
      <c r="A81" s="1" t="s">
        <v>1395</v>
      </c>
      <c r="H81" s="1" t="n">
        <f aca="false">MAX(H78:H80)</f>
        <v>5</v>
      </c>
    </row>
    <row r="82" customFormat="false" ht="15" hidden="false" customHeight="true" outlineLevel="0" collapsed="false">
      <c r="A82" s="1" t="s">
        <v>876</v>
      </c>
      <c r="H82" s="1" t="n">
        <f aca="false">H81*'Packaged Prices'!$C$7</f>
        <v>59.95</v>
      </c>
    </row>
    <row r="83" customFormat="false" ht="15" hidden="false" customHeight="true" outlineLevel="0" collapsed="false">
      <c r="A83" s="1" t="s">
        <v>1396</v>
      </c>
      <c r="C83" s="1" t="n">
        <f aca="false">$H$81*G78-F78</f>
        <v>14</v>
      </c>
      <c r="D83" s="1" t="n">
        <f aca="false">$H$81*G79-F79</f>
        <v>14</v>
      </c>
      <c r="E83" s="1" t="n">
        <f aca="false">$H$81*G80-F80</f>
        <v>56</v>
      </c>
      <c r="G83" s="1" t="s">
        <v>1397</v>
      </c>
    </row>
    <row r="84" customFormat="false" ht="15" hidden="false" customHeight="true" outlineLevel="0" collapsed="false">
      <c r="A84" s="1" t="s">
        <v>1398</v>
      </c>
    </row>
  </sheetData>
  <mergeCells count="10">
    <mergeCell ref="A3:M3"/>
    <mergeCell ref="A15:M15"/>
    <mergeCell ref="A66:M66"/>
    <mergeCell ref="A67:M67"/>
    <mergeCell ref="A68:M68"/>
    <mergeCell ref="A69:M69"/>
    <mergeCell ref="A70:M70"/>
    <mergeCell ref="A71:M71"/>
    <mergeCell ref="A72:M72"/>
    <mergeCell ref="A73:M7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1" activeCellId="0" sqref="D21"/>
    </sheetView>
  </sheetViews>
  <sheetFormatPr defaultColWidth="14.4296875" defaultRowHeight="15" zeroHeight="false" outlineLevelRow="0" outlineLevelCol="0"/>
  <cols>
    <col collapsed="false" customWidth="true" hidden="false" outlineLevel="0" max="1" min="1" style="1" width="15"/>
    <col collapsed="false" customWidth="true" hidden="false" outlineLevel="0" max="3" min="2" style="1" width="12"/>
    <col collapsed="false" customWidth="true" hidden="false" outlineLevel="0" max="4" min="4" style="1" width="9"/>
    <col collapsed="false" customWidth="true" hidden="false" outlineLevel="0" max="5" min="5" style="1" width="8"/>
    <col collapsed="false" customWidth="true" hidden="false" outlineLevel="0" max="6" min="6" style="1" width="26"/>
    <col collapsed="false" customWidth="true" hidden="false" outlineLevel="0" max="26" min="7" style="1" width="8.71"/>
  </cols>
  <sheetData>
    <row r="1" customFormat="false" ht="24" hidden="false" customHeight="true" outlineLevel="0" collapsed="false">
      <c r="A1" s="8" t="s">
        <v>1399</v>
      </c>
      <c r="B1" s="8"/>
      <c r="C1" s="8"/>
      <c r="D1" s="8"/>
      <c r="E1" s="8"/>
      <c r="F1" s="8"/>
    </row>
    <row r="3" customFormat="false" ht="15" hidden="false" customHeight="true" outlineLevel="0" collapsed="false">
      <c r="A3" s="9" t="s">
        <v>23</v>
      </c>
      <c r="B3" s="9" t="s">
        <v>211</v>
      </c>
      <c r="C3" s="9" t="s">
        <v>212</v>
      </c>
      <c r="D3" s="9" t="s">
        <v>1400</v>
      </c>
      <c r="E3" s="9" t="s">
        <v>1401</v>
      </c>
      <c r="F3" s="9" t="s">
        <v>216</v>
      </c>
      <c r="G3" s="27" t="s">
        <v>1086</v>
      </c>
      <c r="H3" s="27" t="s">
        <v>1402</v>
      </c>
      <c r="I3" s="27" t="s">
        <v>1403</v>
      </c>
      <c r="J3" s="27" t="s">
        <v>1404</v>
      </c>
    </row>
    <row r="4" customFormat="false" ht="15" hidden="false" customHeight="true" outlineLevel="0" collapsed="false">
      <c r="A4" s="10" t="s">
        <v>95</v>
      </c>
      <c r="B4" s="102" t="n">
        <f aca="false">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382.5</v>
      </c>
      <c r="C4" s="102" t="n">
        <f aca="false">B4*(1+Assumptions!$B$5)</f>
        <v>439.875</v>
      </c>
      <c r="D4" s="103" t="n">
        <f aca="false">CEILING(MAX(C4-H4,0)/(Assumptions!$B$7*Assumptions!$B$157),1)</f>
        <v>37</v>
      </c>
      <c r="E4" s="103" t="n">
        <f aca="false">CEILING(D4/Assumptions!$B$6,1)</f>
        <v>2</v>
      </c>
      <c r="F4" s="18" t="s">
        <v>1405</v>
      </c>
      <c r="G4" s="24" t="n">
        <f aca="false">CEILING(I4*(1+Assumptions!$B$5)/Assumptions!$B$165,1)+J4</f>
        <v>2</v>
      </c>
      <c r="H4" s="67" t="n">
        <f aca="false">G4*Assumptions!$B$165</f>
        <v>135.2</v>
      </c>
      <c r="I4" s="24" t="n">
        <f aca="false">SUMPRODUCT(('Jug Recipes'!$F$4:$F$15=$A$4)*'Jug Recipes'!$G$4:$G$15)+SUMPRODUCT(('Jug Recipes'!$H$4:$H$15=$A$4)*'Jug Recipes'!$I$4:$I$15)+SUMPRODUCT(('Jug Recipes'!$J$4:$J$15=$A$4)*'Jug Recipes'!$K$4:$K$15)+SUMPRODUCT(('Jug Recipes'!$L$4:$L$15=$A$4)*'Jug Recipes'!$M$4:$M$15)+SUMPRODUCT(('Jug Recipes'!$N$4:$N$15=$A$4)*'Jug Recipes'!$O$4:$O$15)</f>
        <v>82.5</v>
      </c>
      <c r="J4" s="24" t="n">
        <v>0</v>
      </c>
    </row>
    <row r="5" customFormat="false" ht="15" hidden="false" customHeight="true" outlineLevel="0" collapsed="false">
      <c r="A5" s="10" t="s">
        <v>48</v>
      </c>
      <c r="B5" s="102" t="n">
        <f aca="false">SUMPRODUCT(('Dirty Soda - Built Drinks'!$D$3:$D$23=A5)*'Dirty Soda - Built Drinks'!$E$3:$E$23*'Dirty Soda - Built Drinks'!$B$3:$B$23)</f>
        <v>520</v>
      </c>
      <c r="C5" s="102" t="n">
        <f aca="false">B5*(1+Assumptions!$B$5)</f>
        <v>598</v>
      </c>
      <c r="D5" s="103" t="n">
        <f aca="false">CEILING(MAX(C5-H5,0)/(Assumptions!$B$7*Assumptions!$B$157),1)</f>
        <v>72</v>
      </c>
      <c r="E5" s="103" t="n">
        <f aca="false">CEILING(D5/Assumptions!$B$6,1)</f>
        <v>3</v>
      </c>
      <c r="F5" s="14"/>
      <c r="G5" s="24" t="n">
        <f aca="false">CEILING(I5*(1+Assumptions!$B$5)/Assumptions!$B$165,1)+J5</f>
        <v>0</v>
      </c>
      <c r="H5" s="67" t="n">
        <f aca="false">G5*Assumptions!$B$165</f>
        <v>0</v>
      </c>
      <c r="I5" s="24" t="n">
        <f aca="false">SUMPRODUCT(('Jug Recipes'!$F$4:$F$15=$A$5)*'Jug Recipes'!$G$4:$G$15)+SUMPRODUCT(('Jug Recipes'!$H$4:$H$15=$A$5)*'Jug Recipes'!$I$4:$I$15)+SUMPRODUCT(('Jug Recipes'!$J$4:$J$15=$A$5)*'Jug Recipes'!$K$4:$K$15)+SUMPRODUCT(('Jug Recipes'!$L$4:$L$15=$A$5)*'Jug Recipes'!$M$4:$M$15)+SUMPRODUCT(('Jug Recipes'!$N$4:$N$15=$A$5)*'Jug Recipes'!$O$4:$O$15)</f>
        <v>0</v>
      </c>
      <c r="J5" s="24" t="n">
        <v>0</v>
      </c>
    </row>
    <row r="6" customFormat="false" ht="15" hidden="false" customHeight="true" outlineLevel="0" collapsed="false">
      <c r="A6" s="10" t="s">
        <v>55</v>
      </c>
      <c r="B6" s="102" t="n">
        <f aca="false">SUMPRODUCT(('Dirty Soda - Built Drinks'!$D$3:$D$23=A6)*'Dirty Soda - Built Drinks'!$E$3:$E$23*'Dirty Soda - Built Drinks'!$B$3:$B$23)</f>
        <v>200</v>
      </c>
      <c r="C6" s="102" t="n">
        <f aca="false">B6*(1+Assumptions!$B$5)</f>
        <v>230</v>
      </c>
      <c r="D6" s="103" t="n">
        <f aca="false">CEILING(MAX(C6-H6,0)/(Assumptions!$B$7*Assumptions!$B$157),1)</f>
        <v>28</v>
      </c>
      <c r="E6" s="103" t="n">
        <f aca="false">CEILING(D6/Assumptions!$B$6,1)</f>
        <v>1</v>
      </c>
      <c r="F6" s="14"/>
      <c r="G6" s="24" t="n">
        <f aca="false">CEILING(I6*(1+Assumptions!$B$5)/Assumptions!$B$165,1)+J6</f>
        <v>0</v>
      </c>
      <c r="H6" s="67" t="n">
        <f aca="false">G6*Assumptions!$B$165</f>
        <v>0</v>
      </c>
      <c r="I6" s="24" t="n">
        <f aca="false">SUMPRODUCT(('Jug Recipes'!$F$4:$F$15=$A$6)*'Jug Recipes'!$G$4:$G$15)+SUMPRODUCT(('Jug Recipes'!$H$4:$H$15=$A$6)*'Jug Recipes'!$I$4:$I$15)+SUMPRODUCT(('Jug Recipes'!$J$4:$J$15=$A$6)*'Jug Recipes'!$K$4:$K$15)+SUMPRODUCT(('Jug Recipes'!$L$4:$L$15=$A$6)*'Jug Recipes'!$M$4:$M$15)+SUMPRODUCT(('Jug Recipes'!$N$4:$N$15=$A$6)*'Jug Recipes'!$O$4:$O$15)</f>
        <v>0</v>
      </c>
      <c r="J6" s="24" t="n">
        <v>0</v>
      </c>
    </row>
    <row r="7" customFormat="false" ht="15" hidden="false" customHeight="true" outlineLevel="0" collapsed="false">
      <c r="A7" s="10" t="s">
        <v>57</v>
      </c>
      <c r="B7" s="102" t="n">
        <f aca="false">SUMPRODUCT(('Dirty Soda - Built Drinks'!$D$3:$D$23=A7)*'Dirty Soda - Built Drinks'!$E$3:$E$23*'Dirty Soda - Built Drinks'!$B$3:$B$23)</f>
        <v>200</v>
      </c>
      <c r="C7" s="102" t="n">
        <f aca="false">B7*(1+Assumptions!$B$5)</f>
        <v>230</v>
      </c>
      <c r="D7" s="103" t="n">
        <f aca="false">CEILING(MAX(C7-H7,0)/(Assumptions!$B$7*Assumptions!$B$157),1)</f>
        <v>28</v>
      </c>
      <c r="E7" s="103" t="n">
        <f aca="false">CEILING(D7/Assumptions!$B$6,1)</f>
        <v>1</v>
      </c>
      <c r="F7" s="14" t="s">
        <v>1406</v>
      </c>
      <c r="G7" s="24" t="n">
        <v>0</v>
      </c>
      <c r="H7" s="67" t="n">
        <f aca="false">G7*Assumptions!$B$165</f>
        <v>0</v>
      </c>
      <c r="I7" s="24" t="n">
        <f aca="false">SUMPRODUCT(('Jug Recipes'!$F$4:$F$15=$A$7)*'Jug Recipes'!$G$4:$G$15)+SUMPRODUCT(('Jug Recipes'!$H$4:$H$15=$A$7)*'Jug Recipes'!$I$4:$I$15)+SUMPRODUCT(('Jug Recipes'!$J$4:$J$15=$A$7)*'Jug Recipes'!$K$4:$K$15)+SUMPRODUCT(('Jug Recipes'!$L$4:$L$15=$A$7)*'Jug Recipes'!$M$4:$M$15)+SUMPRODUCT(('Jug Recipes'!$N$4:$N$15=$A$7)*'Jug Recipes'!$O$4:$O$15)</f>
        <v>99</v>
      </c>
      <c r="J7" s="24" t="n">
        <v>0</v>
      </c>
    </row>
    <row r="8" customFormat="false" ht="15" hidden="false" customHeight="true" outlineLevel="0" collapsed="false">
      <c r="A8" s="10" t="s">
        <v>67</v>
      </c>
      <c r="B8" s="102" t="n">
        <f aca="false">SUMPRODUCT(('Dirty Soda - Built Drinks'!$D$3:$D$23=A8)*'Dirty Soda - Built Drinks'!$E$3:$E$23*'Dirty Soda - Built Drinks'!$B$3:$B$23)</f>
        <v>320</v>
      </c>
      <c r="C8" s="102" t="n">
        <f aca="false">B8*(1+Assumptions!$B$5)</f>
        <v>368</v>
      </c>
      <c r="D8" s="103" t="n">
        <f aca="false">CEILING(MAX(C8-H8,0)/(Assumptions!$B$7*Assumptions!$B$157),1)</f>
        <v>44</v>
      </c>
      <c r="E8" s="103" t="n">
        <f aca="false">CEILING(D8/Assumptions!$B$6,1)</f>
        <v>2</v>
      </c>
      <c r="F8" s="14"/>
      <c r="G8" s="24" t="n">
        <f aca="false">CEILING(I8*(1+Assumptions!$B$5)/Assumptions!$B$165,1)+J8</f>
        <v>0</v>
      </c>
      <c r="H8" s="67" t="n">
        <f aca="false">G8*Assumptions!$B$165</f>
        <v>0</v>
      </c>
      <c r="I8" s="24" t="n">
        <f aca="false">SUMPRODUCT(('Jug Recipes'!$F$4:$F$15=$A$8)*'Jug Recipes'!$G$4:$G$15)+SUMPRODUCT(('Jug Recipes'!$H$4:$H$15=$A$8)*'Jug Recipes'!$I$4:$I$15)+SUMPRODUCT(('Jug Recipes'!$J$4:$J$15=$A$8)*'Jug Recipes'!$K$4:$K$15)+SUMPRODUCT(('Jug Recipes'!$L$4:$L$15=$A$8)*'Jug Recipes'!$M$4:$M$15)+SUMPRODUCT(('Jug Recipes'!$N$4:$N$15=$A$8)*'Jug Recipes'!$O$4:$O$15)</f>
        <v>0</v>
      </c>
      <c r="J8" s="24" t="n">
        <v>0</v>
      </c>
    </row>
    <row r="9" customFormat="false" ht="15" hidden="false" customHeight="true" outlineLevel="0" collapsed="false">
      <c r="A9" s="10" t="s">
        <v>62</v>
      </c>
      <c r="B9" s="102" t="n">
        <f aca="false">SUMPRODUCT(('Dirty Soda - Built Drinks'!$D$3:$D$23=A9)*'Dirty Soda - Built Drinks'!$E$3:$E$23*'Dirty Soda - Built Drinks'!$B$3:$B$23)</f>
        <v>120</v>
      </c>
      <c r="C9" s="102" t="n">
        <f aca="false">B9*(1+Assumptions!$B$5)</f>
        <v>138</v>
      </c>
      <c r="D9" s="103" t="n">
        <f aca="false">CEILING(MAX(C9-H9,0)/(Assumptions!$B$7*Assumptions!$B$157),1)</f>
        <v>17</v>
      </c>
      <c r="E9" s="103" t="n">
        <f aca="false">CEILING(D9/Assumptions!$B$6,1)</f>
        <v>1</v>
      </c>
      <c r="F9" s="14"/>
      <c r="G9" s="24" t="n">
        <f aca="false">CEILING(I9*(1+Assumptions!$B$5)/Assumptions!$B$165,1)+J9</f>
        <v>0</v>
      </c>
      <c r="H9" s="67" t="n">
        <f aca="false">G9*Assumptions!$B$165</f>
        <v>0</v>
      </c>
      <c r="I9" s="24" t="n">
        <f aca="false">SUMPRODUCT(('Jug Recipes'!$F$4:$F$15=$A$9)*'Jug Recipes'!$G$4:$G$15)+SUMPRODUCT(('Jug Recipes'!$H$4:$H$15=$A$9)*'Jug Recipes'!$I$4:$I$15)+SUMPRODUCT(('Jug Recipes'!$J$4:$J$15=$A$9)*'Jug Recipes'!$K$4:$K$15)+SUMPRODUCT(('Jug Recipes'!$L$4:$L$15=$A$9)*'Jug Recipes'!$M$4:$M$15)+SUMPRODUCT(('Jug Recipes'!$N$4:$N$15=$A$9)*'Jug Recipes'!$O$4:$O$15)</f>
        <v>0</v>
      </c>
      <c r="J9" s="24" t="n">
        <v>0</v>
      </c>
    </row>
    <row r="10" customFormat="false" ht="15" hidden="false" customHeight="true" outlineLevel="0" collapsed="false">
      <c r="A10" s="10" t="s">
        <v>78</v>
      </c>
      <c r="B10" s="102" t="n">
        <f aca="false">SUMPRODUCT(('Dirty Soda - Built Drinks'!$D$3:$D$23=A10)*'Dirty Soda - Built Drinks'!$E$3:$E$23*'Dirty Soda - Built Drinks'!$B$3:$B$23)</f>
        <v>300</v>
      </c>
      <c r="C10" s="102" t="n">
        <f aca="false">B10*(1+Assumptions!$B$5)</f>
        <v>345</v>
      </c>
      <c r="D10" s="103" t="n">
        <f aca="false">CEILING(MAX(C10-H10,0)/(Assumptions!$B$7*Assumptions!$B$157),1)</f>
        <v>42</v>
      </c>
      <c r="E10" s="103" t="n">
        <f aca="false">CEILING(D10/Assumptions!$B$6,1)</f>
        <v>2</v>
      </c>
      <c r="F10" s="14"/>
      <c r="G10" s="24" t="n">
        <f aca="false">CEILING(I10*(1+Assumptions!$B$5)/Assumptions!$B$165,1)+J10</f>
        <v>0</v>
      </c>
      <c r="H10" s="67" t="n">
        <f aca="false">G10*Assumptions!$B$165</f>
        <v>0</v>
      </c>
      <c r="I10" s="24" t="n">
        <f aca="false">SUMPRODUCT(('Jug Recipes'!$F$4:$F$15=$A$10)*'Jug Recipes'!$G$4:$G$15)+SUMPRODUCT(('Jug Recipes'!$H$4:$H$15=$A$10)*'Jug Recipes'!$I$4:$I$15)+SUMPRODUCT(('Jug Recipes'!$J$4:$J$15=$A$10)*'Jug Recipes'!$K$4:$K$15)+SUMPRODUCT(('Jug Recipes'!$L$4:$L$15=$A$10)*'Jug Recipes'!$M$4:$M$15)+SUMPRODUCT(('Jug Recipes'!$N$4:$N$15=$A$10)*'Jug Recipes'!$O$4:$O$15)</f>
        <v>0</v>
      </c>
      <c r="J10" s="24" t="n">
        <v>0</v>
      </c>
    </row>
    <row r="11" customFormat="false" ht="15" hidden="false" customHeight="true" outlineLevel="0" collapsed="false">
      <c r="A11" s="10" t="s">
        <v>1407</v>
      </c>
      <c r="B11" s="102" t="n">
        <f aca="false">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0</v>
      </c>
      <c r="C11" s="102" t="n">
        <f aca="false">B11*(1+Assumptions!$B$5)</f>
        <v>0</v>
      </c>
      <c r="D11" s="103" t="n">
        <f aca="false">CEILING(MAX(C11-H11,0)/(Assumptions!$B$7*Assumptions!$B$157),1)</f>
        <v>0</v>
      </c>
      <c r="E11" s="103" t="n">
        <f aca="false">CEILING(D11/Assumptions!$B$6,1)</f>
        <v>0</v>
      </c>
      <c r="F11" s="14" t="s">
        <v>1408</v>
      </c>
      <c r="G11" s="24" t="n">
        <v>0</v>
      </c>
      <c r="H11" s="67" t="n">
        <f aca="false">G11*Assumptions!$B$165</f>
        <v>0</v>
      </c>
      <c r="I11" s="24" t="n">
        <f aca="false">SUMPRODUCT(('Jug Recipes'!$F$4:$F$15=$A$11)*'Jug Recipes'!$G$4:$G$15)+SUMPRODUCT(('Jug Recipes'!$H$4:$H$15=$A$11)*'Jug Recipes'!$I$4:$I$15)+SUMPRODUCT(('Jug Recipes'!$J$4:$J$15=$A$11)*'Jug Recipes'!$K$4:$K$15)+SUMPRODUCT(('Jug Recipes'!$L$4:$L$15=$A$11)*'Jug Recipes'!$M$4:$M$15)+SUMPRODUCT(('Jug Recipes'!$N$4:$N$15=$A$11)*'Jug Recipes'!$O$4:$O$15)</f>
        <v>0</v>
      </c>
      <c r="J11" s="24" t="n">
        <v>0</v>
      </c>
    </row>
    <row r="12" customFormat="false" ht="15" hidden="false" customHeight="true" outlineLevel="0" collapsed="false">
      <c r="A12" s="20" t="s">
        <v>1409</v>
      </c>
      <c r="B12" s="104" t="n">
        <f aca="false">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0</v>
      </c>
      <c r="C12" s="104" t="n">
        <f aca="false">B12*(1+Assumptions!$B$5)</f>
        <v>0</v>
      </c>
      <c r="D12" s="104" t="n">
        <f aca="false">CEILING(MAX(C12-H12,0)/(Assumptions!$B$7*Assumptions!$B$157),1)</f>
        <v>0</v>
      </c>
      <c r="E12" s="104" t="n">
        <f aca="false">CEILING(D12/Assumptions!$B$6,1)</f>
        <v>0</v>
      </c>
      <c r="F12" s="21" t="s">
        <v>1410</v>
      </c>
      <c r="G12" s="24" t="n">
        <f aca="false">CEILING(I12*(1+Assumptions!$B$5)/Assumptions!$B$165,1)+J12</f>
        <v>0</v>
      </c>
      <c r="H12" s="67" t="n">
        <f aca="false">G12*Assumptions!$B$165</f>
        <v>0</v>
      </c>
      <c r="I12" s="24" t="n">
        <f aca="false">SUMPRODUCT(('Jug Recipes'!$F$4:$F$15=$A$12)*'Jug Recipes'!$G$4:$G$15)+SUMPRODUCT(('Jug Recipes'!$H$4:$H$15=$A$12)*'Jug Recipes'!$I$4:$I$15)+SUMPRODUCT(('Jug Recipes'!$J$4:$J$15=$A$12)*'Jug Recipes'!$K$4:$K$15)+SUMPRODUCT(('Jug Recipes'!$L$4:$L$15=$A$12)*'Jug Recipes'!$M$4:$M$15)+SUMPRODUCT(('Jug Recipes'!$N$4:$N$15=$A$12)*'Jug Recipes'!$O$4:$O$15)</f>
        <v>0</v>
      </c>
      <c r="J12" s="24" t="n">
        <v>0</v>
      </c>
    </row>
    <row r="13" customFormat="false" ht="15" hidden="false" customHeight="true" outlineLevel="0" collapsed="false">
      <c r="A13" s="23" t="s">
        <v>100</v>
      </c>
      <c r="B13" s="1" t="n">
        <f aca="false">SUMPRODUCT(('Dirty Soda - Built Drinks'!$D$3:$D$23=A13)*'Dirty Soda - Built Drinks'!$E$3:$E$23*'Dirty Soda - Built Drinks'!$B$3:$B$23)</f>
        <v>160</v>
      </c>
      <c r="C13" s="1" t="n">
        <f aca="false">B13*(1+Assumptions!$B$5)</f>
        <v>184</v>
      </c>
      <c r="D13" s="1" t="n">
        <f aca="false">CEILING(MAX(C13-H13,0)/(Assumptions!$B$7*Assumptions!$B$157),1)</f>
        <v>22</v>
      </c>
      <c r="E13" s="1" t="n">
        <f aca="false">CEILING(D13/Assumptions!$B$6,1)</f>
        <v>1</v>
      </c>
      <c r="F13" s="6" t="s">
        <v>1411</v>
      </c>
      <c r="G13" s="24" t="n">
        <f aca="false">CEILING(I13*(1+Assumptions!$B$5)/Assumptions!$B$165,1)+J13</f>
        <v>0</v>
      </c>
      <c r="H13" s="23" t="n">
        <f aca="false">G13*Assumptions!$B$165</f>
        <v>0</v>
      </c>
      <c r="I13" s="24" t="n">
        <f aca="false">SUMPRODUCT(('Jug Recipes'!$F$4:$F$15=$A$13)*'Jug Recipes'!$G$4:$G$15)+SUMPRODUCT(('Jug Recipes'!$H$4:$H$15=$A$13)*'Jug Recipes'!$I$4:$I$15)+SUMPRODUCT(('Jug Recipes'!$J$4:$J$15=$A$13)*'Jug Recipes'!$K$4:$K$15)+SUMPRODUCT(('Jug Recipes'!$L$4:$L$15=$A$13)*'Jug Recipes'!$M$4:$M$15)+SUMPRODUCT(('Jug Recipes'!$N$4:$N$15=$A$13)*'Jug Recipes'!$O$4:$O$15)</f>
        <v>0</v>
      </c>
      <c r="J13" s="24" t="n">
        <v>0</v>
      </c>
    </row>
    <row r="14" customFormat="false" ht="15" hidden="false" customHeight="true" outlineLevel="0" collapsed="false">
      <c r="A14" s="1" t="s">
        <v>320</v>
      </c>
      <c r="B14" s="1" t="n">
        <f aca="false">SUM(B4:B13)</f>
        <v>2202.5</v>
      </c>
      <c r="C14" s="1" t="n">
        <f aca="false">SUM(C4:C13)</f>
        <v>2532.875</v>
      </c>
      <c r="D14" s="1" t="n">
        <f aca="false">SUM(D4:D13)</f>
        <v>290</v>
      </c>
      <c r="E14" s="1" t="n">
        <f aca="false">SUM(E4:E13)</f>
        <v>13</v>
      </c>
      <c r="F14" s="1" t="s">
        <v>1412</v>
      </c>
      <c r="G14" s="1" t="n">
        <f aca="false">SUM(G4:G13)</f>
        <v>2</v>
      </c>
      <c r="H14" s="1" t="n">
        <f aca="false">SUM(H4:H13)</f>
        <v>135.2</v>
      </c>
      <c r="I14" s="1" t="n">
        <f aca="false">SUM(I4:I13)</f>
        <v>181.5</v>
      </c>
      <c r="J14" s="1" t="n">
        <f aca="false">SUM(J4:J13)</f>
        <v>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61" activeCellId="0" sqref="C461"/>
    </sheetView>
  </sheetViews>
  <sheetFormatPr defaultColWidth="14.4296875" defaultRowHeight="15" zeroHeight="false" outlineLevelRow="0" outlineLevelCol="0"/>
  <cols>
    <col collapsed="false" customWidth="true" hidden="false" outlineLevel="0" max="1" min="1" style="1" width="22"/>
    <col collapsed="false" customWidth="true" hidden="false" outlineLevel="0" max="3" min="2" style="1" width="12"/>
    <col collapsed="false" customWidth="true" hidden="false" outlineLevel="0" max="4" min="4" style="1" width="9"/>
    <col collapsed="false" customWidth="true" hidden="false" outlineLevel="0" max="5" min="5" style="1" width="28"/>
    <col collapsed="false" customWidth="true" hidden="false" outlineLevel="0" max="26" min="6" style="1" width="8.71"/>
  </cols>
  <sheetData>
    <row r="1" customFormat="false" ht="24" hidden="false" customHeight="true" outlineLevel="0" collapsed="false">
      <c r="A1" s="8" t="s">
        <v>1413</v>
      </c>
      <c r="B1" s="8"/>
      <c r="C1" s="8"/>
      <c r="D1" s="8"/>
      <c r="E1" s="8"/>
    </row>
    <row r="3" customFormat="false" ht="15" hidden="false" customHeight="true" outlineLevel="0" collapsed="false">
      <c r="A3" s="105" t="s">
        <v>1414</v>
      </c>
    </row>
    <row r="4" customFormat="false" ht="15" hidden="false" customHeight="true" outlineLevel="0" collapsed="false">
      <c r="A4" s="50" t="s">
        <v>1191</v>
      </c>
      <c r="B4" s="50" t="s">
        <v>211</v>
      </c>
      <c r="C4" s="50" t="s">
        <v>212</v>
      </c>
      <c r="D4" s="50" t="s">
        <v>1415</v>
      </c>
      <c r="E4" s="50" t="s">
        <v>216</v>
      </c>
    </row>
    <row r="5" customFormat="false" ht="15" hidden="false" customHeight="true" outlineLevel="0" collapsed="false">
      <c r="A5" s="10" t="s">
        <v>70</v>
      </c>
      <c r="B5" s="102" t="n">
        <f aca="false">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96</v>
      </c>
      <c r="C5" s="102" t="n">
        <f aca="false">B5*(1+Assumptions!$B$5)</f>
        <v>110.4</v>
      </c>
      <c r="D5" s="103" t="n">
        <f aca="false">CEILING(C5/Assumptions!$B$8,1)</f>
        <v>5</v>
      </c>
      <c r="E5" s="10" t="s">
        <v>1416</v>
      </c>
    </row>
    <row r="6" customFormat="false" ht="15" hidden="false" customHeight="true" outlineLevel="0" collapsed="false">
      <c r="A6" s="10" t="s">
        <v>1417</v>
      </c>
      <c r="B6" s="102" t="n">
        <f aca="false">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0</v>
      </c>
      <c r="C6" s="102" t="n">
        <f aca="false">B6*(1+Assumptions!$B$5)</f>
        <v>0</v>
      </c>
      <c r="D6" s="103" t="n">
        <f aca="false">CEILING(C6/Assumptions!$B$8,1)</f>
        <v>0</v>
      </c>
      <c r="E6" s="10" t="s">
        <v>1416</v>
      </c>
    </row>
    <row r="7" customFormat="false" ht="15" hidden="false" customHeight="true" outlineLevel="0" collapsed="false">
      <c r="A7" s="10" t="s">
        <v>49</v>
      </c>
      <c r="B7" s="102" t="n">
        <f aca="false">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90.75</v>
      </c>
      <c r="C7" s="102" t="n">
        <f aca="false">B7*(1+Assumptions!$B$5)</f>
        <v>104.3625</v>
      </c>
      <c r="D7" s="103" t="n">
        <f aca="false">CEILING(C7/Assumptions!$B$8,1)</f>
        <v>5</v>
      </c>
      <c r="E7" s="10" t="s">
        <v>1416</v>
      </c>
    </row>
    <row r="8" customFormat="false" ht="15" hidden="false" customHeight="true" outlineLevel="0" collapsed="false">
      <c r="A8" s="10" t="s">
        <v>50</v>
      </c>
      <c r="B8" s="102" t="n">
        <f aca="false">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113.25</v>
      </c>
      <c r="C8" s="102" t="n">
        <f aca="false">B8*(1+Assumptions!$B$5)</f>
        <v>130.2375</v>
      </c>
      <c r="D8" s="103" t="n">
        <f aca="false">CEILING(C8/Assumptions!$B$8,1)</f>
        <v>6</v>
      </c>
      <c r="E8" s="10" t="s">
        <v>1416</v>
      </c>
    </row>
    <row r="9" customFormat="false" ht="15" hidden="false" customHeight="true" outlineLevel="0" collapsed="false">
      <c r="A9" s="10" t="s">
        <v>1418</v>
      </c>
      <c r="B9" s="102" t="n">
        <f aca="false">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0</v>
      </c>
      <c r="C9" s="102" t="n">
        <f aca="false">B9*(1+Assumptions!$B$5)</f>
        <v>0</v>
      </c>
      <c r="D9" s="103" t="n">
        <f aca="false">CEILING(C9/Assumptions!$B$8,1)</f>
        <v>0</v>
      </c>
      <c r="E9" s="10" t="s">
        <v>1419</v>
      </c>
    </row>
    <row r="10" customFormat="false" ht="15" hidden="false" customHeight="true" outlineLevel="0" collapsed="false">
      <c r="A10" s="10" t="s">
        <v>89</v>
      </c>
      <c r="B10" s="102" t="n">
        <f aca="false">SUMPRODUCT(('Dirty Soda - Built Drinks'!$F$3:$F$23=A10)*'Dirty Soda - Built Drinks'!$G$3:$G$23*'Dirty Soda - Built Drinks'!$B$3:$B$23)+SUMPRODUCT(('Dirty Soda - Built Drinks'!$H$3:$H$23=A10)*'Dirty Soda - Built Drinks'!$I$3:$I$23*'Dirty Soda - Built Drinks'!$B$3:$B$23)</f>
        <v>12.5</v>
      </c>
      <c r="C10" s="102" t="n">
        <f aca="false">B10*(1+Assumptions!$B$5)</f>
        <v>14.375</v>
      </c>
      <c r="D10" s="103" t="n">
        <f aca="false">CEILING(C10/Assumptions!$B$8,1)</f>
        <v>1</v>
      </c>
      <c r="E10" s="10" t="s">
        <v>1420</v>
      </c>
    </row>
    <row r="11" customFormat="false" ht="15" hidden="false" customHeight="true" outlineLevel="0" collapsed="false">
      <c r="A11" s="10" t="s">
        <v>1421</v>
      </c>
      <c r="B11" s="102" t="n">
        <f aca="false">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0</v>
      </c>
      <c r="C11" s="102" t="n">
        <f aca="false">B11*(1+Assumptions!$B$5)</f>
        <v>0</v>
      </c>
      <c r="D11" s="103" t="n">
        <f aca="false">CEILING(C11/Assumptions!$B$8,1)</f>
        <v>0</v>
      </c>
      <c r="E11" s="10" t="s">
        <v>1416</v>
      </c>
    </row>
    <row r="12" customFormat="false" ht="15" hidden="false" customHeight="true" outlineLevel="0" collapsed="false">
      <c r="A12" s="20" t="s">
        <v>320</v>
      </c>
      <c r="B12" s="104" t="n">
        <f aca="false">SUM(B5:B9,B11)+Assumptions!$B$160*Assumptions!$B$162</f>
        <v>420</v>
      </c>
      <c r="C12" s="104" t="n">
        <f aca="false">SUM(C5:C9,C11)+Assumptions!$B$160*Assumptions!$B$162*(1+Assumptions!$B$5)</f>
        <v>483</v>
      </c>
      <c r="D12" s="104" t="n">
        <f aca="false">SUM(D5:D9,D11)+CEILING(Assumptions!$B$160*Assumptions!$B$162*(1+Assumptions!$B$5)/Assumptions!$B$8,1)</f>
        <v>22</v>
      </c>
      <c r="E12" s="21" t="s">
        <v>1422</v>
      </c>
    </row>
    <row r="13" customFormat="false" ht="15" hidden="false" customHeight="true" outlineLevel="0" collapsed="false"/>
    <row r="14" customFormat="false" ht="15" hidden="false" customHeight="true" outlineLevel="0" collapsed="false">
      <c r="A14" s="105" t="s">
        <v>1423</v>
      </c>
    </row>
    <row r="15" customFormat="false" ht="15" hidden="false" customHeight="true" outlineLevel="0" collapsed="false">
      <c r="A15" s="50" t="s">
        <v>340</v>
      </c>
      <c r="B15" s="50" t="s">
        <v>211</v>
      </c>
      <c r="C15" s="50" t="s">
        <v>212</v>
      </c>
      <c r="D15" s="50" t="s">
        <v>1424</v>
      </c>
      <c r="E15" s="50" t="s">
        <v>1425</v>
      </c>
    </row>
    <row r="16" customFormat="false" ht="15" hidden="false" customHeight="true" outlineLevel="0" collapsed="false">
      <c r="A16" s="10" t="s">
        <v>1193</v>
      </c>
      <c r="B16" s="102" t="n">
        <f aca="false">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146.5</v>
      </c>
      <c r="C16" s="102" t="n">
        <f aca="false">B16*(1+Assumptions!$B$5)</f>
        <v>168.475</v>
      </c>
      <c r="D16" s="103" t="n">
        <f aca="false">CEILING(C16/Assumptions!$B$9,1)</f>
        <v>10</v>
      </c>
      <c r="E16" s="10" t="s">
        <v>1426</v>
      </c>
    </row>
    <row r="17" customFormat="false" ht="15" hidden="false" customHeight="true" outlineLevel="0" collapsed="false">
      <c r="A17" s="10" t="s">
        <v>38</v>
      </c>
      <c r="B17" s="102" t="n">
        <f aca="false">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68</v>
      </c>
      <c r="C17" s="102" t="n">
        <f aca="false">B17*(1+Assumptions!$B$5)</f>
        <v>78.2</v>
      </c>
      <c r="D17" s="103" t="n">
        <f aca="false">CEILING(C17/Assumptions!$B$91,1)</f>
        <v>5</v>
      </c>
      <c r="E17" s="10" t="s">
        <v>1426</v>
      </c>
    </row>
    <row r="18" customFormat="false" ht="15" hidden="false" customHeight="true" outlineLevel="0" collapsed="false">
      <c r="A18" s="10" t="s">
        <v>930</v>
      </c>
      <c r="B18" s="102" t="n">
        <f aca="false">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0</v>
      </c>
      <c r="C18" s="102" t="n">
        <f aca="false">B18*(1+Assumptions!$B$5)</f>
        <v>0</v>
      </c>
      <c r="D18" s="103" t="n">
        <f aca="false">CEILING(C18/Assumptions!$B$91,1)</f>
        <v>0</v>
      </c>
      <c r="E18" s="10" t="s">
        <v>1426</v>
      </c>
    </row>
    <row r="19" customFormat="false" ht="15" hidden="false" customHeight="true" outlineLevel="0" collapsed="false">
      <c r="A19" s="10" t="s">
        <v>1427</v>
      </c>
      <c r="B19" s="102" t="n">
        <f aca="false">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455</v>
      </c>
      <c r="C19" s="102" t="n">
        <f aca="false">B19*(1+Assumptions!$B$5)</f>
        <v>523.25</v>
      </c>
      <c r="D19" s="103" t="n">
        <f aca="false">CEILING(C19/96,1)</f>
        <v>6</v>
      </c>
      <c r="E19" s="10" t="s">
        <v>1428</v>
      </c>
    </row>
    <row r="20" customFormat="false" ht="15" hidden="false" customHeight="true" outlineLevel="0" collapsed="false">
      <c r="A20" s="1" t="s">
        <v>135</v>
      </c>
      <c r="B20" s="1" t="n">
        <f aca="false">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2035.5</v>
      </c>
      <c r="C20" s="1" t="n">
        <f aca="false">B20*(1+Assumptions!$B$5)</f>
        <v>2340.825</v>
      </c>
      <c r="D20" s="1" t="n">
        <f aca="false">CEILING(C20/(Assumptions!$B$235*Assumptions!$B$238),1)</f>
        <v>77</v>
      </c>
      <c r="E20" s="1" t="s">
        <v>1429</v>
      </c>
    </row>
    <row r="21" customFormat="false" ht="15.75" hidden="false" customHeight="true" outlineLevel="0" collapsed="false">
      <c r="A21" s="106" t="s">
        <v>37</v>
      </c>
      <c r="B21" s="1" t="n">
        <f aca="false">SUMPRODUCT(('Dirty Soda - Built Drinks'!$F$3:$F$23="Tangerine juice")*'Dirty Soda - Built Drinks'!$G$3:$G$23*'Dirty Soda - Built Drinks'!$B$3:$B$23)+SUMPRODUCT(('Dirty Soda - Built Drinks'!$H$3:$H$23="Tangerine juice")*'Dirty Soda - Built Drinks'!$I$3:$I$23*'Dirty Soda - Built Drinks'!$B$3:$B$23)</f>
        <v>60</v>
      </c>
      <c r="C21" s="1" t="n">
        <f aca="false">B21*(1+Assumptions!$B$5)</f>
        <v>69</v>
      </c>
      <c r="D21" s="1" t="n">
        <f aca="false">CEILING(C21/Assumptions!$B$89,1)</f>
        <v>2</v>
      </c>
      <c r="E21" s="1" t="s">
        <v>1430</v>
      </c>
    </row>
    <row r="22" customFormat="false" ht="15.75" hidden="false" customHeight="true" outlineLevel="0" collapsed="false">
      <c r="A22" s="1" t="s">
        <v>1431</v>
      </c>
    </row>
    <row r="23" customFormat="false" ht="15.75" hidden="false" customHeight="true" outlineLevel="0" collapsed="false"/>
    <row r="24" customFormat="false" ht="15.75" hidden="false" customHeight="true" outlineLevel="0" collapsed="false">
      <c r="A24" s="105" t="s">
        <v>410</v>
      </c>
    </row>
    <row r="25" customFormat="false" ht="15.75" hidden="false" customHeight="true" outlineLevel="0" collapsed="false">
      <c r="A25" s="50" t="s">
        <v>1215</v>
      </c>
      <c r="B25" s="50" t="s">
        <v>211</v>
      </c>
      <c r="C25" s="50" t="s">
        <v>212</v>
      </c>
      <c r="D25" s="50" t="s">
        <v>1415</v>
      </c>
      <c r="E25" s="50" t="s">
        <v>837</v>
      </c>
      <c r="F25" s="50" t="s">
        <v>215</v>
      </c>
      <c r="G25" s="50" t="s">
        <v>216</v>
      </c>
    </row>
    <row r="26" customFormat="false" ht="15.75" hidden="false" customHeight="true" outlineLevel="0" collapsed="false">
      <c r="A26" s="10" t="s">
        <v>40</v>
      </c>
      <c r="B26" s="102" t="n">
        <f aca="false">SUMPRODUCT(('Dirty Soda - Built Drinks'!$M$3:$M$23=A26)*'Dirty Soda - Built Drinks'!$N$3:$N$23)+SUMPRODUCT(('Jug Recipes'!$P$4:$P$15=A26)*'Jug Recipes'!$R$4:$R$15)</f>
        <v>96.075</v>
      </c>
      <c r="C26" s="102" t="n">
        <f aca="false">B26*(1+Assumptions!$B$5)</f>
        <v>110.48625</v>
      </c>
      <c r="D26" s="103" t="n">
        <f aca="false">CEILING(C26/Assumptions!$B$41,1)</f>
        <v>5</v>
      </c>
      <c r="E26" s="85" t="n">
        <f aca="false">Assumptions!$B$42</f>
        <v>15</v>
      </c>
      <c r="F26" s="85" t="n">
        <f aca="false">D26*E26</f>
        <v>75</v>
      </c>
      <c r="G26" s="10" t="s">
        <v>1432</v>
      </c>
    </row>
    <row r="27" customFormat="false" ht="15.75" hidden="false" customHeight="true" outlineLevel="0" collapsed="false">
      <c r="A27" s="10" t="s">
        <v>185</v>
      </c>
      <c r="B27" s="102" t="n">
        <f aca="false">SUMPRODUCT(('Dirty Soda - Built Drinks'!$M$3:$M$23=A27)*'Dirty Soda - Built Drinks'!$N$3:$N$23)+SUMPRODUCT(('Jug Recipes'!$P$4:$P$15=A27)*'Jug Recipes'!$R$4:$R$15)</f>
        <v>17.325</v>
      </c>
      <c r="C27" s="102" t="n">
        <f aca="false">B27*(1+Assumptions!$B$5)</f>
        <v>19.92375</v>
      </c>
      <c r="D27" s="103" t="n">
        <f aca="false">CEILING(C27/Assumptions!$B$41,1)</f>
        <v>1</v>
      </c>
      <c r="E27" s="85" t="n">
        <f aca="false">Assumptions!$B$43</f>
        <v>15.49</v>
      </c>
      <c r="F27" s="85" t="n">
        <f aca="false">D27*E27</f>
        <v>15.49</v>
      </c>
      <c r="G27" s="10"/>
    </row>
    <row r="28" customFormat="false" ht="15.75" hidden="false" customHeight="true" outlineLevel="0" collapsed="false">
      <c r="A28" s="10" t="s">
        <v>52</v>
      </c>
      <c r="B28" s="102" t="n">
        <f aca="false">SUMPRODUCT(('Dirty Soda - Built Drinks'!$M$3:$M$23=A28)*'Dirty Soda - Built Drinks'!$N$3:$N$23)+SUMPRODUCT(('Jug Recipes'!$P$4:$P$15=A28)*'Jug Recipes'!$R$4:$R$15)</f>
        <v>105</v>
      </c>
      <c r="C28" s="102" t="n">
        <f aca="false">B28*(1+Assumptions!$B$5)</f>
        <v>120.75</v>
      </c>
      <c r="D28" s="103" t="n">
        <f aca="false">CEILING(C28/Assumptions!$B$41,1)</f>
        <v>5</v>
      </c>
      <c r="E28" s="85" t="n">
        <f aca="false">Assumptions!$B$44</f>
        <v>14</v>
      </c>
      <c r="F28" s="85" t="n">
        <f aca="false">D28*E28</f>
        <v>70</v>
      </c>
      <c r="G28" s="10"/>
    </row>
    <row r="29" customFormat="false" ht="15.75" hidden="false" customHeight="true" outlineLevel="0" collapsed="false">
      <c r="A29" s="10" t="s">
        <v>60</v>
      </c>
      <c r="B29" s="102" t="n">
        <f aca="false">SUMPRODUCT(('Dirty Soda - Built Drinks'!$M$3:$M$23=A29)*'Dirty Soda - Built Drinks'!$N$3:$N$23)+SUMPRODUCT(('Jug Recipes'!$P$4:$P$15=A29)*'Jug Recipes'!$R$4:$R$15)</f>
        <v>214.35</v>
      </c>
      <c r="C29" s="102" t="n">
        <f aca="false">B29*(1+Assumptions!$B$5)</f>
        <v>246.5025</v>
      </c>
      <c r="D29" s="103" t="n">
        <f aca="false">CEILING(C29/Assumptions!$B$41,1)</f>
        <v>10</v>
      </c>
      <c r="E29" s="85" t="n">
        <f aca="false">Assumptions!$B$45</f>
        <v>26</v>
      </c>
      <c r="F29" s="85" t="n">
        <f aca="false">D29*E29</f>
        <v>260</v>
      </c>
      <c r="G29" s="10"/>
    </row>
    <row r="30" customFormat="false" ht="15.75" hidden="false" customHeight="true" outlineLevel="0" collapsed="false">
      <c r="A30" s="10" t="s">
        <v>102</v>
      </c>
      <c r="B30" s="102" t="n">
        <f aca="false">SUMPRODUCT(('Dirty Soda - Built Drinks'!$M$3:$M$23=A30)*'Dirty Soda - Built Drinks'!$N$3:$N$23)+SUMPRODUCT(('Jug Recipes'!$P$4:$P$15=A30)*'Jug Recipes'!$R$4:$R$15)</f>
        <v>38.325</v>
      </c>
      <c r="C30" s="102" t="n">
        <f aca="false">B30*(1+Assumptions!$B$5)</f>
        <v>44.07375</v>
      </c>
      <c r="D30" s="103" t="n">
        <f aca="false">CEILING(C30/Assumptions!$B$41,1)</f>
        <v>2</v>
      </c>
      <c r="E30" s="85" t="n">
        <f aca="false">Assumptions!$B$46</f>
        <v>15.99</v>
      </c>
      <c r="F30" s="85" t="n">
        <f aca="false">D30*E30</f>
        <v>31.98</v>
      </c>
      <c r="G30" s="10"/>
    </row>
    <row r="31" customFormat="false" ht="15.75" hidden="false" customHeight="true" outlineLevel="0" collapsed="false">
      <c r="A31" s="10" t="s">
        <v>65</v>
      </c>
      <c r="B31" s="102" t="n">
        <f aca="false">SUMPRODUCT(('Dirty Soda - Built Drinks'!$M$3:$M$23=A31)*'Dirty Soda - Built Drinks'!$N$3:$N$23)+SUMPRODUCT(('Jug Recipes'!$P$4:$P$15=A31)*'Jug Recipes'!$R$4:$R$15)</f>
        <v>88.725</v>
      </c>
      <c r="C31" s="102" t="n">
        <f aca="false">B31*(1+Assumptions!$B$5)</f>
        <v>102.03375</v>
      </c>
      <c r="D31" s="103" t="n">
        <f aca="false">CEILING(C31/Assumptions!$B$41,1)</f>
        <v>5</v>
      </c>
      <c r="E31" s="85" t="n">
        <f aca="false">Assumptions!$B$47</f>
        <v>24.99</v>
      </c>
      <c r="F31" s="85" t="n">
        <f aca="false">D31*E31</f>
        <v>124.95</v>
      </c>
      <c r="G31" s="10" t="s">
        <v>1433</v>
      </c>
    </row>
    <row r="32" customFormat="false" ht="15.75" hidden="false" customHeight="true" outlineLevel="0" collapsed="false">
      <c r="A32" s="20" t="s">
        <v>320</v>
      </c>
      <c r="B32" s="104" t="n">
        <f aca="false">SUM(B26:B31)</f>
        <v>559.8</v>
      </c>
      <c r="C32" s="104" t="n">
        <f aca="false">SUM(C26:C31)</f>
        <v>643.77</v>
      </c>
      <c r="D32" s="104" t="n">
        <f aca="false">SUM(D26:D31)</f>
        <v>28</v>
      </c>
      <c r="E32" s="20"/>
      <c r="F32" s="104" t="n">
        <f aca="false">SUM(F26:F31)</f>
        <v>577.42</v>
      </c>
      <c r="G32" s="20"/>
    </row>
    <row r="33" customFormat="false" ht="15.75" hidden="false" customHeight="true" outlineLevel="0" collapsed="false"/>
    <row r="34" customFormat="false" ht="15.75" hidden="false" customHeight="true" outlineLevel="0" collapsed="false">
      <c r="A34" s="23" t="s">
        <v>1434</v>
      </c>
    </row>
    <row r="35" customFormat="false" ht="15.75" hidden="false" customHeight="true" outlineLevel="0" collapsed="false">
      <c r="A35" s="107" t="s">
        <v>340</v>
      </c>
      <c r="B35" s="107" t="s">
        <v>211</v>
      </c>
      <c r="C35" s="107" t="s">
        <v>212</v>
      </c>
      <c r="D35" s="107" t="s">
        <v>1424</v>
      </c>
      <c r="E35" s="107" t="s">
        <v>1425</v>
      </c>
    </row>
    <row r="36" customFormat="false" ht="15.75" hidden="false" customHeight="true" outlineLevel="0" collapsed="false">
      <c r="A36" s="34" t="s">
        <v>75</v>
      </c>
      <c r="B36" s="108" t="n">
        <f aca="false">(SUMPRODUCT(('Dirty Soda - Built Drinks'!$F$3:$F$23="Ginger beer")*'Dirty Soda - Built Drinks'!$G$3:$G$23*'Dirty Soda - Built Drinks'!$B$3:$B$23)+SUMPRODUCT(('Dirty Soda - Built Drinks'!$H$3:$H$23="Ginger beer")*'Dirty Soda - Built Drinks'!$I$3:$I$23*'Dirty Soda - Built Drinks'!$B$3:$B$23))</f>
        <v>135</v>
      </c>
      <c r="C36" s="108" t="n">
        <f aca="false">B36*(1+Assumptions!$B$5)</f>
        <v>155.25</v>
      </c>
      <c r="D36" s="109" t="n">
        <f aca="false">CEILING(C36/Assumptions!$B$96,1)</f>
        <v>13</v>
      </c>
      <c r="E36" s="34" t="s">
        <v>1435</v>
      </c>
    </row>
    <row r="37" customFormat="false" ht="15.75" hidden="false" customHeight="true" outlineLevel="0" collapsed="false">
      <c r="A37" s="34" t="s">
        <v>1436</v>
      </c>
      <c r="B37" s="108" t="n">
        <f aca="false">(SUMPRODUCT(('Dirty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0</v>
      </c>
      <c r="C37" s="108" t="n">
        <f aca="false">B37*(1+Assumptions!$B$5)</f>
        <v>0</v>
      </c>
      <c r="D37" s="109" t="n">
        <f aca="false">CEILING(C37/Assumptions!$B$99,1)</f>
        <v>0</v>
      </c>
      <c r="E37" s="34" t="s">
        <v>1437</v>
      </c>
    </row>
    <row r="38" customFormat="false" ht="15.75" hidden="false" customHeight="true" outlineLevel="0" collapsed="false">
      <c r="A38" s="34" t="s">
        <v>1438</v>
      </c>
      <c r="B38" s="108" t="n">
        <f aca="false">'Dirty Soda - Built Drinks'!$B$11*Assumptions!$B$98</f>
        <v>0</v>
      </c>
      <c r="C38" s="108" t="n">
        <f aca="false">B38*(1+Assumptions!$B$5)</f>
        <v>0</v>
      </c>
      <c r="D38" s="109" t="n">
        <f aca="false">CEILING(C38/Assumptions!$B$56,1)</f>
        <v>0</v>
      </c>
      <c r="E38" s="34" t="s">
        <v>1439</v>
      </c>
    </row>
    <row r="39" customFormat="false" ht="15.75" hidden="false" customHeight="true" outlineLevel="0" collapsed="false">
      <c r="A39" s="34" t="s">
        <v>1440</v>
      </c>
      <c r="B39" s="108" t="n">
        <f aca="false">(SUMPRODUCT(('Dirty Soda - Built Drinks'!$F$3:$F$23="Clamato")*'Dirty Soda - Built Drinks'!$G$3:$G$23*'Dirty Soda - Built Drinks'!$B$3:$B$23)+SUMPRODUCT(('Dirty Soda - Built Drinks'!$H$3:$H$23="Clamato")*'Dirty Soda - Built Drinks'!$I$3:$I$23*'Dirty Soda - Built Drinks'!$B$3:$B$23))</f>
        <v>0</v>
      </c>
      <c r="C39" s="108" t="n">
        <f aca="false">B39*(1+Assumptions!$B$5)</f>
        <v>0</v>
      </c>
      <c r="D39" s="109" t="n">
        <f aca="false">CEILING(C39/Assumptions!$B$103,1)</f>
        <v>0</v>
      </c>
      <c r="E39" s="34" t="s">
        <v>1441</v>
      </c>
    </row>
    <row r="40" customFormat="false" ht="15.75" hidden="false" customHeight="true" outlineLevel="0" collapsed="false">
      <c r="A40" s="34" t="s">
        <v>45</v>
      </c>
      <c r="B40" s="108" t="n">
        <f aca="false">'Dirty Soda - Built Drinks'!$B$4*'Dirty Soda - Built Drinks'!$I$4+'Dirty Soda - Built Drinks'!$B$3*Assumptions!$B$113+'Dirty Soda - Built Drinks'!$B$20*'Dirty Soda - Built Drinks'!$I$20</f>
        <v>30</v>
      </c>
      <c r="C40" s="108" t="n">
        <f aca="false">B40*(1+Assumptions!$B$5)</f>
        <v>34.5</v>
      </c>
      <c r="D40" s="109" t="n">
        <f aca="false">CEILING(C40/Assumptions!$B$111,1)</f>
        <v>35</v>
      </c>
      <c r="E40" s="34" t="s">
        <v>1442</v>
      </c>
    </row>
    <row r="41" customFormat="false" ht="15.75" hidden="false" customHeight="true" outlineLevel="0" collapsed="false">
      <c r="A41" s="34" t="s">
        <v>1443</v>
      </c>
      <c r="B41" s="108" t="n">
        <f aca="false">'Dirty Soda - Built Drinks'!$B$4*Assumptions!$B$105</f>
        <v>0</v>
      </c>
      <c r="C41" s="108" t="n">
        <f aca="false">B41*(1+Assumptions!$B$5)</f>
        <v>0</v>
      </c>
      <c r="D41" s="109" t="n">
        <f aca="false">CEILING(C41/Assumptions!$B$106,1)</f>
        <v>0</v>
      </c>
      <c r="E41" s="34" t="s">
        <v>1444</v>
      </c>
    </row>
    <row r="42" customFormat="false" ht="15.75" hidden="false" customHeight="true" outlineLevel="0" collapsed="false">
      <c r="A42" s="34" t="s">
        <v>1445</v>
      </c>
      <c r="B42" s="108" t="n">
        <f aca="false">('Dirty Soda - Built Drinks'!$B$4+'Dirty Soda - Built Drinks'!$B$8+'Dirty Soda - Built Drinks'!$B$16+'Dirty Soda - Built Drinks'!$B$17)*Assumptions!$B$108</f>
        <v>11</v>
      </c>
      <c r="C42" s="108" t="n">
        <f aca="false">B42*(1+Assumptions!$B$5)</f>
        <v>12.65</v>
      </c>
      <c r="D42" s="109" t="n">
        <f aca="false">CEILING(C42/Assumptions!$B$109,1)</f>
        <v>3</v>
      </c>
      <c r="E42" s="34" t="s">
        <v>1446</v>
      </c>
    </row>
    <row r="43" customFormat="false" ht="15.75" hidden="false" customHeight="true" outlineLevel="0" collapsed="false">
      <c r="A43" s="34" t="s">
        <v>1447</v>
      </c>
      <c r="B43" s="108" t="n">
        <f aca="false">(SUMPRODUCT(('Dirty Soda - Built Drinks'!$F$3:$F$23="Orange juice")*'Dirty Soda - Built Drinks'!$G$3:$G$23*'Dirty Soda - Built Drinks'!$B$3:$B$23)+SUMPRODUCT(('Dirty Soda - Built Drinks'!$H$3:$H$23="Orange juice")*'Dirty Soda - Built Drinks'!$I$3:$I$23*'Dirty Soda - Built Drinks'!$B$3:$B$23))</f>
        <v>0</v>
      </c>
      <c r="C43" s="108" t="n">
        <f aca="false">B43*(1+Assumptions!$B$5)</f>
        <v>0</v>
      </c>
      <c r="D43" s="109" t="n">
        <f aca="false">CEILING(C43/Assumptions!$B$69,1)</f>
        <v>0</v>
      </c>
      <c r="E43" s="34" t="s">
        <v>1448</v>
      </c>
    </row>
    <row r="44" customFormat="false" ht="15.75" hidden="false" customHeight="true" outlineLevel="0" collapsed="false">
      <c r="A44" s="34"/>
      <c r="B44" s="108"/>
      <c r="C44" s="108"/>
      <c r="D44" s="109"/>
      <c r="E44" s="34"/>
    </row>
    <row r="45" customFormat="false" ht="15.75" hidden="false" customHeight="true" outlineLevel="0" collapsed="false">
      <c r="A45" s="34" t="s">
        <v>1449</v>
      </c>
      <c r="B45" s="108" t="n">
        <f aca="false">'Dirty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105</v>
      </c>
      <c r="C45" s="108" t="n">
        <f aca="false">B45*(1+Assumptions!$B$5)</f>
        <v>120.75</v>
      </c>
      <c r="D45" s="109" t="n">
        <f aca="false">CEILING(C45/Assumptions!$B$111,1)</f>
        <v>121</v>
      </c>
      <c r="E45" s="34" t="s">
        <v>1450</v>
      </c>
    </row>
    <row r="46" customFormat="false" ht="15.75" hidden="false" customHeight="true" outlineLevel="0" collapsed="false">
      <c r="A46" s="34" t="s">
        <v>1451</v>
      </c>
      <c r="B46" s="108" t="n">
        <f aca="false">'Dirty Soda - Built Drinks'!$B$11*Assumptions!$B$128</f>
        <v>5</v>
      </c>
      <c r="C46" s="108" t="n">
        <f aca="false">B46*(1+Assumptions!$B$5)</f>
        <v>5.75</v>
      </c>
      <c r="D46" s="109" t="n">
        <f aca="false">CEILING(C46/Assumptions!$B$129,1)</f>
        <v>1</v>
      </c>
      <c r="E46" s="34" t="s">
        <v>1452</v>
      </c>
    </row>
    <row r="47" customFormat="false" ht="15.75" hidden="false" customHeight="true" outlineLevel="0" collapsed="false">
      <c r="A47" s="34" t="s">
        <v>1453</v>
      </c>
      <c r="B47" s="108" t="n">
        <f aca="false">'Dirty Soda - Built Drinks'!$B$11*Assumptions!$B$131+'Dirty Soda - Built Drinks'!$B$22*Assumptions!$B$224</f>
        <v>15</v>
      </c>
      <c r="C47" s="108" t="n">
        <f aca="false">B47*(1+Assumptions!$B$5)</f>
        <v>17.25</v>
      </c>
      <c r="D47" s="109" t="n">
        <f aca="false">CEILING(C47/Assumptions!$B$132,1)</f>
        <v>1</v>
      </c>
      <c r="E47" s="34" t="s">
        <v>1454</v>
      </c>
    </row>
    <row r="48" customFormat="false" ht="15.75" hidden="false" customHeight="true" outlineLevel="0" collapsed="false">
      <c r="A48" s="34" t="s">
        <v>1455</v>
      </c>
      <c r="B48" s="108" t="n">
        <f aca="false">'Dirty Soda - Built Drinks'!$B$15*Assumptions!$B$147</f>
        <v>37.5</v>
      </c>
      <c r="C48" s="108" t="n">
        <f aca="false">B48*(1+Assumptions!$B$5)</f>
        <v>43.125</v>
      </c>
      <c r="D48" s="109" t="n">
        <f aca="false">CEILING(C48/Assumptions!$B$148,1)</f>
        <v>1</v>
      </c>
      <c r="E48" s="34" t="s">
        <v>1456</v>
      </c>
    </row>
    <row r="49" customFormat="false" ht="15.75" hidden="false" customHeight="true" outlineLevel="0" collapsed="false">
      <c r="A49" s="34" t="s">
        <v>1457</v>
      </c>
      <c r="B49" s="108" t="n">
        <f aca="false">'Dirty Soda - Built Drinks'!$B$15*Assumptions!$B$150</f>
        <v>0</v>
      </c>
      <c r="C49" s="108" t="n">
        <f aca="false">B49*(1+Assumptions!$B$5)</f>
        <v>0</v>
      </c>
      <c r="D49" s="109" t="n">
        <f aca="false">CEILING(C49/Assumptions!$B$151,1)</f>
        <v>0</v>
      </c>
      <c r="E49" s="34" t="s">
        <v>1458</v>
      </c>
    </row>
    <row r="50" customFormat="false" ht="15.75" hidden="false" customHeight="true" outlineLevel="0" collapsed="false">
      <c r="A50" s="34" t="s">
        <v>1459</v>
      </c>
      <c r="B50" s="108" t="n">
        <f aca="false">SUMPRODUCT(('Dirty Soda - Built Drinks'!$F$3:$F$23="Pickle Juice")*'Dirty Soda - Built Drinks'!$G$3:$G$23*'Dirty Soda - Built Drinks'!$B$3:$B$23)+SUMPRODUCT(('Dirty Soda - Built Drinks'!$H$3:$H$23="Pickle Juice")*'Dirty Soda - Built Drinks'!$I$3:$I$23*'Dirty Soda - Built Drinks'!$B$3:$B$23)+Assumptions!$B$209*Assumptions!$B$210</f>
        <v>75</v>
      </c>
      <c r="C50" s="108" t="n">
        <f aca="false">B50*(1+Assumptions!$B$5)</f>
        <v>86.25</v>
      </c>
      <c r="D50" s="109" t="n">
        <f aca="false">CEILING(C50/Assumptions!$B$211,1)</f>
        <v>1</v>
      </c>
      <c r="E50" s="34" t="s">
        <v>1460</v>
      </c>
    </row>
    <row r="51" customFormat="false" ht="15.75" hidden="false" customHeight="true" outlineLevel="0" collapsed="false">
      <c r="A51" s="34" t="s">
        <v>1461</v>
      </c>
      <c r="B51" s="108" t="n">
        <f aca="false">SUMPRODUCT(('Dirty Soda - Built Drinks'!$F$3:$F$23="Watermelon juice")*'Dirty Soda - Built Drinks'!$G$3:$G$23*'Dirty Soda - Built Drinks'!$B$3:$B$23)+SUMPRODUCT(('Dirty Soda - Built Drinks'!$H$3:$H$23="Watermelon juice")*'Dirty Soda - Built Drinks'!$I$3:$I$23*'Dirty Soda - Built Drinks'!$B$3:$B$23)</f>
        <v>100</v>
      </c>
      <c r="C51" s="108" t="n">
        <f aca="false">B51*(1+Assumptions!$B$5)</f>
        <v>115</v>
      </c>
      <c r="D51" s="109" t="n">
        <f aca="false">CEILING(C51/Assumptions!$B$218,1)</f>
        <v>4</v>
      </c>
      <c r="E51" s="34" t="s">
        <v>1462</v>
      </c>
    </row>
    <row r="52" customFormat="false" ht="15.75" hidden="false" customHeight="true" outlineLevel="0" collapsed="false"/>
    <row r="53" customFormat="false" ht="15.75" hidden="false" customHeight="true" outlineLevel="0" collapsed="false"/>
    <row r="54" customFormat="false" ht="15.75" hidden="false" customHeight="true" outlineLevel="0" collapsed="false">
      <c r="A54" s="34" t="s">
        <v>1463</v>
      </c>
      <c r="B54" s="108" t="n">
        <f aca="false">SUMPRODUCT(('Dirty Soda - Built Drinks'!$F$3:$F$23="Guava syrup")*'Dirty Soda - Built Drinks'!$G$3:$G$23*'Dirty Soda - Built Drinks'!$B$3:$B$23)+SUMPRODUCT(('Dirty Soda - Built Drinks'!$H$3:$H$23="Guava syrup")*'Dirty Soda - Built Drinks'!$I$3:$I$23*'Dirty Soda - Built Drinks'!$B$3:$B$23)</f>
        <v>12.5</v>
      </c>
      <c r="C54" s="108" t="n">
        <f aca="false">B54*(1+Assumptions!$B$5)</f>
        <v>14.375</v>
      </c>
      <c r="D54" s="109" t="n">
        <f aca="false">CEILING(C54/Assumptions!$B$270,1)</f>
        <v>1</v>
      </c>
      <c r="E54" s="34" t="s">
        <v>1464</v>
      </c>
    </row>
    <row r="55" customFormat="false" ht="15.75" hidden="false" customHeight="true" outlineLevel="0" collapsed="false">
      <c r="A55" s="34" t="s">
        <v>1465</v>
      </c>
      <c r="B55" s="108" t="n">
        <f aca="false">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135</v>
      </c>
      <c r="C55" s="108" t="n">
        <f aca="false">B55*(1+Assumptions!$B$5)</f>
        <v>155.25</v>
      </c>
      <c r="D55" s="109" t="n">
        <f aca="false">CEILING(C55/Assumptions!$B$241,1)</f>
        <v>5</v>
      </c>
      <c r="E55" s="34" t="s">
        <v>1466</v>
      </c>
    </row>
    <row r="56" customFormat="false" ht="15.75" hidden="false" customHeight="true" outlineLevel="0" collapsed="false">
      <c r="A56" s="34" t="s">
        <v>1467</v>
      </c>
      <c r="B56" s="108" t="n">
        <f aca="false">SUMPRODUCT(('Dirty Soda - Built Drinks'!$F$3:$F$23="Yuzu juice")*'Dirty Soda - Built Drinks'!$G$3:$G$23*'Dirty Soda - Built Drinks'!$B$3:$B$23)+SUMPRODUCT(('Dirty Soda - Built Drinks'!$H$3:$H$23="Yuzu juice")*'Dirty Soda - Built Drinks'!$I$3:$I$23*'Dirty Soda - Built Drinks'!$B$3:$B$23)</f>
        <v>25</v>
      </c>
      <c r="C56" s="108" t="n">
        <f aca="false">B56*(1+Assumptions!$B$5)</f>
        <v>28.75</v>
      </c>
      <c r="D56" s="109" t="n">
        <f aca="false">CEILING(B56/Assumptions!$B$245,1)</f>
        <v>2</v>
      </c>
      <c r="E56" s="34" t="s">
        <v>1468</v>
      </c>
    </row>
    <row r="57" customFormat="false" ht="15.75" hidden="false" customHeight="true" outlineLevel="0" collapsed="false">
      <c r="A57" s="34" t="s">
        <v>1469</v>
      </c>
      <c r="B57" s="108" t="n">
        <f aca="false">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80</v>
      </c>
      <c r="C57" s="108" t="n">
        <f aca="false">B57*(1+Assumptions!$B$5)</f>
        <v>92</v>
      </c>
      <c r="D57" s="109" t="n">
        <f aca="false">CEILING(C57/Assumptions!$B$249,1)</f>
        <v>3</v>
      </c>
      <c r="E57" s="34" t="s">
        <v>1470</v>
      </c>
    </row>
    <row r="58" customFormat="false" ht="15.75" hidden="false" customHeight="true" outlineLevel="0" collapsed="false">
      <c r="A58" s="1" t="s">
        <v>1471</v>
      </c>
      <c r="B58" s="1" t="n">
        <f aca="false">SUMPRODUCT(('Dirty Soda - Built Drinks'!$F$3:$F$23="Tres Agaves Bloody Mary Mix")*'Dirty Soda - Built Drinks'!$G$3:$G$23*'Dirty Soda - Built Drinks'!$B$3:$B$23)+SUMPRODUCT(('Dirty Soda - Built Drinks'!$H$3:$H$23="Tres Agaves Bloody Mary Mix")*'Dirty Soda - Built Drinks'!$I$3:$I$23*'Dirty Soda - Built Drinks'!$B$3:$B$23)</f>
        <v>75</v>
      </c>
      <c r="C58" s="1" t="n">
        <f aca="false">B58*(1+Assumptions!$B$5)</f>
        <v>86.25</v>
      </c>
      <c r="D58" s="1" t="n">
        <f aca="false">CEILING(C58/Assumptions!$B$268,1)</f>
        <v>4</v>
      </c>
      <c r="E58" s="1" t="s">
        <v>1472</v>
      </c>
    </row>
    <row r="59" customFormat="false" ht="15.75" hidden="false" customHeight="true" outlineLevel="0" collapsed="false">
      <c r="A59" s="1" t="s">
        <v>1473</v>
      </c>
      <c r="B59" s="1" t="n">
        <f aca="false">Assumptions!$B$297</f>
        <v>396</v>
      </c>
      <c r="C59" s="1" t="n">
        <f aca="false">B59*(1+Assumptions!$B$5)</f>
        <v>455.4</v>
      </c>
      <c r="D59" s="1" t="n">
        <f aca="false">CEILING(C59/Assumptions!$B$295,1)</f>
        <v>8</v>
      </c>
      <c r="E59" s="1" t="s">
        <v>1474</v>
      </c>
    </row>
    <row r="60" customFormat="false" ht="15.75" hidden="false" customHeight="true" outlineLevel="0" collapsed="false">
      <c r="A60" s="1" t="s">
        <v>1475</v>
      </c>
      <c r="B60" s="1" t="n">
        <f aca="false">Assumptions!$B$298</f>
        <v>396</v>
      </c>
      <c r="C60" s="1" t="n">
        <f aca="false">B60*(1+Assumptions!$B$5)</f>
        <v>455.4</v>
      </c>
      <c r="D60" s="1" t="n">
        <f aca="false">CEILING(C60/Assumptions!$B$69,1)</f>
        <v>8</v>
      </c>
      <c r="E60" s="1" t="s">
        <v>1476</v>
      </c>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83" colorId="64" zoomScale="100" zoomScaleNormal="100" zoomScalePageLayoutView="100" workbookViewId="0">
      <selection pane="topLeft" activeCell="G84" activeCellId="0" sqref="G84"/>
    </sheetView>
  </sheetViews>
  <sheetFormatPr defaultColWidth="14.4296875" defaultRowHeight="15"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3" min="3" style="1" width="13"/>
    <col collapsed="false" customWidth="true" hidden="false" outlineLevel="0" max="4" min="4" style="1" width="8"/>
    <col collapsed="false" customWidth="true" hidden="false" outlineLevel="0" max="5" min="5" style="1" width="11"/>
    <col collapsed="false" customWidth="true" hidden="false" outlineLevel="0" max="6" min="6" style="1" width="9"/>
    <col collapsed="false" customWidth="true" hidden="false" outlineLevel="0" max="7" min="7" style="1" width="30"/>
    <col collapsed="false" customWidth="true" hidden="false" outlineLevel="0" max="26" min="8" style="1" width="9"/>
  </cols>
  <sheetData>
    <row r="1" customFormat="false" ht="25.5" hidden="false" customHeight="true" outlineLevel="0" collapsed="false">
      <c r="A1" s="8" t="s">
        <v>1477</v>
      </c>
      <c r="B1" s="8"/>
      <c r="C1" s="8"/>
      <c r="D1" s="8"/>
      <c r="E1" s="8"/>
      <c r="F1" s="8"/>
      <c r="G1" s="8"/>
    </row>
    <row r="2" customFormat="false" ht="62.25" hidden="false" customHeight="true" outlineLevel="0" collapsed="false">
      <c r="A2" s="6" t="s">
        <v>1478</v>
      </c>
      <c r="B2" s="6" t="s">
        <v>1479</v>
      </c>
      <c r="C2" s="110"/>
      <c r="H2" s="6"/>
      <c r="L2" s="1" t="s">
        <v>1480</v>
      </c>
    </row>
    <row r="3" customFormat="false" ht="15" hidden="false" customHeight="true" outlineLevel="0" collapsed="false">
      <c r="A3" s="111" t="s">
        <v>1481</v>
      </c>
      <c r="B3" s="111"/>
      <c r="C3" s="111"/>
      <c r="D3" s="111"/>
      <c r="E3" s="111"/>
      <c r="F3" s="111"/>
      <c r="G3" s="111"/>
    </row>
    <row r="4" customFormat="false" ht="15" hidden="false" customHeight="true" outlineLevel="0" collapsed="false">
      <c r="A4" s="50" t="s">
        <v>1482</v>
      </c>
      <c r="B4" s="50" t="s">
        <v>340</v>
      </c>
      <c r="C4" s="112" t="s">
        <v>1483</v>
      </c>
      <c r="D4" s="50" t="s">
        <v>296</v>
      </c>
      <c r="E4" s="50" t="s">
        <v>297</v>
      </c>
      <c r="F4" s="50" t="s">
        <v>1484</v>
      </c>
      <c r="G4" s="50" t="s">
        <v>1485</v>
      </c>
      <c r="H4" s="113" t="s">
        <v>1486</v>
      </c>
      <c r="I4" s="114" t="s">
        <v>1487</v>
      </c>
      <c r="J4" s="115" t="s">
        <v>1488</v>
      </c>
      <c r="K4" s="115" t="s">
        <v>1489</v>
      </c>
      <c r="L4" s="115" t="s">
        <v>157</v>
      </c>
      <c r="M4" s="50"/>
      <c r="R4" s="1" t="s">
        <v>1490</v>
      </c>
      <c r="S4" s="1" t="s">
        <v>1491</v>
      </c>
      <c r="T4" s="1" t="s">
        <v>1492</v>
      </c>
      <c r="U4" s="1" t="s">
        <v>1493</v>
      </c>
      <c r="V4" s="1" t="s">
        <v>1494</v>
      </c>
    </row>
    <row r="5" customFormat="false" ht="23.25" hidden="false" customHeight="true" outlineLevel="0" collapsed="false">
      <c r="A5" s="116" t="s">
        <v>1495</v>
      </c>
      <c r="B5" s="14" t="s">
        <v>1496</v>
      </c>
      <c r="C5" s="117" t="s">
        <v>1210</v>
      </c>
      <c r="D5" s="102" t="n">
        <v>1</v>
      </c>
      <c r="E5" s="116" t="s">
        <v>1497</v>
      </c>
      <c r="F5" s="85"/>
      <c r="G5" s="118" t="s">
        <v>1498</v>
      </c>
      <c r="H5" s="119"/>
      <c r="I5" s="120" t="str">
        <f aca="false">IF(AND($H5="",$J5=""),"· not ordered",IF($H5="","⚠ REVIEW",IF(N($H5)&gt;=N($D5),"✅ MET","⚠ SHORT "&amp;TEXT(N($D5)-N($H5),"0")&amp;" "&amp;$E5)))</f>
        <v>· not ordered</v>
      </c>
      <c r="J5" s="121"/>
      <c r="L5" s="117" t="s">
        <v>1499</v>
      </c>
      <c r="R5" s="67"/>
      <c r="S5" s="67"/>
    </row>
    <row r="6" customFormat="false" ht="15" hidden="false" customHeight="true" outlineLevel="0" collapsed="false">
      <c r="A6" s="116" t="s">
        <v>1495</v>
      </c>
      <c r="B6" s="14" t="s">
        <v>1500</v>
      </c>
      <c r="C6" s="117" t="s">
        <v>1210</v>
      </c>
      <c r="D6" s="102" t="n">
        <v>1</v>
      </c>
      <c r="E6" s="116" t="s">
        <v>1497</v>
      </c>
      <c r="F6" s="85"/>
      <c r="G6" s="118" t="s">
        <v>1501</v>
      </c>
      <c r="H6" s="119"/>
      <c r="I6" s="120" t="str">
        <f aca="false">IF(AND($H6="",$J6=""),"· not ordered",IF($H6="","⚠ REVIEW",IF(N($H6)&gt;=N($D6),"✅ MET","⚠ SHORT "&amp;TEXT(N($D6)-N($H6),"0")&amp;" "&amp;$E6)))</f>
        <v>· not ordered</v>
      </c>
      <c r="J6" s="121"/>
      <c r="K6" s="117"/>
      <c r="L6" s="1" t="s">
        <v>1502</v>
      </c>
      <c r="R6" s="67"/>
      <c r="S6" s="67"/>
    </row>
    <row r="7" customFormat="false" ht="15" hidden="false" customHeight="true" outlineLevel="0" collapsed="false">
      <c r="A7" s="116" t="s">
        <v>1495</v>
      </c>
      <c r="B7" s="14" t="s">
        <v>1503</v>
      </c>
      <c r="C7" s="117" t="s">
        <v>1210</v>
      </c>
      <c r="D7" s="102" t="n">
        <v>1</v>
      </c>
      <c r="E7" s="116" t="s">
        <v>1497</v>
      </c>
      <c r="F7" s="85"/>
      <c r="G7" s="118" t="s">
        <v>1501</v>
      </c>
      <c r="H7" s="119"/>
      <c r="I7" s="120" t="str">
        <f aca="false">IF(AND($H7="",$J7=""),"· not ordered",IF($H7="","⚠ REVIEW",IF(N($H7)&gt;=N($D7),"✅ MET","⚠ SHORT "&amp;TEXT(N($D7)-N($H7),"0")&amp;" "&amp;$E7)))</f>
        <v>· not ordered</v>
      </c>
      <c r="J7" s="67"/>
      <c r="L7" s="1" t="s">
        <v>1504</v>
      </c>
      <c r="R7" s="67"/>
      <c r="S7" s="67"/>
    </row>
    <row r="8" customFormat="false" ht="15" hidden="false" customHeight="true" outlineLevel="0" collapsed="false">
      <c r="A8" s="116" t="s">
        <v>1495</v>
      </c>
      <c r="B8" s="14" t="s">
        <v>1505</v>
      </c>
      <c r="C8" s="117" t="s">
        <v>1210</v>
      </c>
      <c r="D8" s="102" t="n">
        <v>1</v>
      </c>
      <c r="E8" s="116" t="s">
        <v>1497</v>
      </c>
      <c r="F8" s="85"/>
      <c r="G8" s="118" t="s">
        <v>1501</v>
      </c>
      <c r="H8" s="119"/>
      <c r="I8" s="120" t="str">
        <f aca="false">IF(AND($H8="",$J8=""),"· not ordered",IF($H8="","⚠ REVIEW",IF(N($H8)&gt;=N($D8),"✅ MET","⚠ SHORT "&amp;TEXT(N($D8)-N($H8),"0")&amp;" "&amp;$E8)))</f>
        <v>· not ordered</v>
      </c>
      <c r="J8" s="67"/>
      <c r="L8" s="117" t="s">
        <v>1506</v>
      </c>
      <c r="R8" s="67"/>
      <c r="S8" s="67"/>
    </row>
    <row r="9" customFormat="false" ht="15" hidden="false" customHeight="true" outlineLevel="0" collapsed="false">
      <c r="A9" s="116" t="s">
        <v>1495</v>
      </c>
      <c r="B9" s="14" t="s">
        <v>1507</v>
      </c>
      <c r="C9" s="117" t="s">
        <v>1210</v>
      </c>
      <c r="D9" s="102" t="n">
        <v>1</v>
      </c>
      <c r="E9" s="116" t="s">
        <v>1508</v>
      </c>
      <c r="F9" s="85"/>
      <c r="G9" s="118" t="s">
        <v>1501</v>
      </c>
      <c r="H9" s="119"/>
      <c r="I9" s="120" t="str">
        <f aca="false">IF(AND($H9="",$J9=""),"· not ordered",IF($H9="","⚠ REVIEW",IF(N($H9)&gt;=N($D9),"✅ MET","⚠ SHORT "&amp;TEXT(N($D9)-N($H9),"0")&amp;" "&amp;$E9)))</f>
        <v>· not ordered</v>
      </c>
      <c r="J9" s="67"/>
      <c r="L9" s="117" t="s">
        <v>1509</v>
      </c>
      <c r="R9" s="67"/>
      <c r="S9" s="67"/>
    </row>
    <row r="10" customFormat="false" ht="15" hidden="false" customHeight="true" outlineLevel="0" collapsed="false">
      <c r="A10" s="116" t="s">
        <v>1495</v>
      </c>
      <c r="B10" s="14" t="s">
        <v>1510</v>
      </c>
      <c r="C10" s="117" t="s">
        <v>1210</v>
      </c>
      <c r="D10" s="102" t="n">
        <v>1</v>
      </c>
      <c r="E10" s="116" t="s">
        <v>1497</v>
      </c>
      <c r="F10" s="85"/>
      <c r="G10" s="118" t="s">
        <v>1501</v>
      </c>
      <c r="H10" s="119"/>
      <c r="I10" s="120" t="str">
        <f aca="false">IF(AND($H10="",$J10=""),"· not ordered",IF($H10="","⚠ REVIEW",IF(N($H10)&gt;=N($D10),"✅ MET","⚠ SHORT "&amp;TEXT(N($D10)-N($H10),"0")&amp;" "&amp;$E10)))</f>
        <v>· not ordered</v>
      </c>
      <c r="J10" s="67"/>
      <c r="L10" s="1" t="s">
        <v>1511</v>
      </c>
      <c r="R10" s="67"/>
      <c r="S10" s="67"/>
    </row>
    <row r="11" customFormat="false" ht="15" hidden="false" customHeight="true" outlineLevel="0" collapsed="false">
      <c r="A11" s="116" t="s">
        <v>1495</v>
      </c>
      <c r="B11" s="14" t="s">
        <v>1512</v>
      </c>
      <c r="C11" s="117" t="s">
        <v>1210</v>
      </c>
      <c r="D11" s="102" t="n">
        <v>1</v>
      </c>
      <c r="E11" s="116" t="s">
        <v>1497</v>
      </c>
      <c r="F11" s="85"/>
      <c r="G11" s="118" t="s">
        <v>1501</v>
      </c>
      <c r="H11" s="119"/>
      <c r="I11" s="122" t="str">
        <f aca="false">IF(AND($H11="",$J11=""),"· not ordered",IF($H11="","⚠ REVIEW",IF(N($H11)&gt;=N($D11),"✅ MET","⚠ SHORT "&amp;TEXT(N($D11)-N($H11),"0")&amp;" "&amp;$E11)))</f>
        <v>· not ordered</v>
      </c>
      <c r="L11" s="117" t="s">
        <v>1513</v>
      </c>
    </row>
    <row r="12" customFormat="false" ht="15" hidden="false" customHeight="true" outlineLevel="0" collapsed="false">
      <c r="A12" s="116" t="s">
        <v>1495</v>
      </c>
      <c r="B12" s="14" t="s">
        <v>1514</v>
      </c>
      <c r="C12" s="117" t="s">
        <v>1210</v>
      </c>
      <c r="D12" s="102" t="n">
        <v>1</v>
      </c>
      <c r="E12" s="116" t="s">
        <v>1508</v>
      </c>
      <c r="F12" s="85"/>
      <c r="G12" s="118" t="s">
        <v>1501</v>
      </c>
      <c r="H12" s="122"/>
      <c r="I12" s="122" t="str">
        <f aca="false">IF(AND($H12="",$J12=""),"· not ordered",IF($H12="","⚠ REVIEW",IF(N($H12)&gt;=N($D12),"✅ MET","⚠ SHORT "&amp;TEXT(N($D12)-N($H12),"0")&amp;" "&amp;$E12)))</f>
        <v>· not ordered</v>
      </c>
      <c r="L12" s="1" t="s">
        <v>1515</v>
      </c>
    </row>
    <row r="13" customFormat="false" ht="15.75" hidden="false" customHeight="true" outlineLevel="0" collapsed="false">
      <c r="A13" s="116" t="s">
        <v>1495</v>
      </c>
      <c r="B13" s="14" t="s">
        <v>1516</v>
      </c>
      <c r="C13" s="116" t="s">
        <v>1210</v>
      </c>
      <c r="D13" s="102" t="n">
        <v>1</v>
      </c>
      <c r="E13" s="116" t="s">
        <v>1497</v>
      </c>
      <c r="F13" s="85"/>
      <c r="G13" s="118" t="s">
        <v>1501</v>
      </c>
      <c r="H13" s="119"/>
      <c r="I13" s="122" t="str">
        <f aca="false">IF(AND($H13="",$J13=""),"· not ordered",IF($H13="","⚠ REVIEW",IF(N($H13)&gt;=N($D13),"✅ MET","⚠ SHORT "&amp;TEXT(N($D13)-N($H13),"0")&amp;" "&amp;$E13)))</f>
        <v>· not ordered</v>
      </c>
      <c r="L13" s="117" t="s">
        <v>1517</v>
      </c>
    </row>
    <row r="14" customFormat="false" ht="15.75" hidden="false" customHeight="true" outlineLevel="0" collapsed="false">
      <c r="A14" s="116" t="s">
        <v>1495</v>
      </c>
      <c r="B14" s="14" t="s">
        <v>1518</v>
      </c>
      <c r="C14" s="116" t="s">
        <v>1210</v>
      </c>
      <c r="D14" s="102" t="n">
        <v>1</v>
      </c>
      <c r="E14" s="116" t="s">
        <v>1497</v>
      </c>
      <c r="F14" s="85"/>
      <c r="G14" s="118" t="s">
        <v>1501</v>
      </c>
      <c r="H14" s="123"/>
      <c r="I14" s="122" t="str">
        <f aca="false">IF(AND($H14="",$J14=""),"· not ordered",IF($H14="","⚠ REVIEW",IF(N($H14)&gt;=N($D14),"✅ MET","⚠ SHORT "&amp;TEXT(N($D14)-N($H14),"0")&amp;" "&amp;$E14)))</f>
        <v>· not ordered</v>
      </c>
      <c r="L14" s="117" t="s">
        <v>1519</v>
      </c>
    </row>
    <row r="15" customFormat="false" ht="15.75" hidden="false" customHeight="true" outlineLevel="0" collapsed="false">
      <c r="A15" s="116" t="s">
        <v>1495</v>
      </c>
      <c r="B15" s="14" t="s">
        <v>1520</v>
      </c>
      <c r="C15" s="116" t="s">
        <v>1210</v>
      </c>
      <c r="D15" s="102" t="n">
        <v>1</v>
      </c>
      <c r="E15" s="116" t="s">
        <v>1508</v>
      </c>
      <c r="F15" s="85"/>
      <c r="G15" s="118" t="s">
        <v>1501</v>
      </c>
      <c r="H15" s="123"/>
      <c r="I15" s="122" t="str">
        <f aca="false">IF(AND($H15="",$J15=""),"· not ordered",IF($H15="","⚠ REVIEW",IF(N($H15)&gt;=N($D15),"✅ MET","⚠ SHORT "&amp;TEXT(N($D15)-N($H15),"0")&amp;" "&amp;$E15)))</f>
        <v>· not ordered</v>
      </c>
      <c r="L15" s="117" t="s">
        <v>1521</v>
      </c>
    </row>
    <row r="16" customFormat="false" ht="15.75" hidden="false" customHeight="true" outlineLevel="0" collapsed="false">
      <c r="A16" s="116" t="s">
        <v>1495</v>
      </c>
      <c r="B16" s="14" t="s">
        <v>1522</v>
      </c>
      <c r="C16" s="116" t="s">
        <v>1196</v>
      </c>
      <c r="D16" s="102" t="n">
        <f aca="false">'Other Consumables'!D58</f>
        <v>4</v>
      </c>
      <c r="E16" s="116" t="s">
        <v>343</v>
      </c>
      <c r="F16" s="85" t="n">
        <f aca="false">D16*Assumptions!$B$269</f>
        <v>40</v>
      </c>
      <c r="G16" s="118" t="s">
        <v>1498</v>
      </c>
      <c r="H16" s="122"/>
      <c r="I16" s="122" t="str">
        <f aca="false">IF(AND($H16="",$J16=""),"· not ordered",IF($H16="","⚠ REVIEW",IF(N($H16)&gt;=N($D16),"✅ MET","⚠ SHORT "&amp;TEXT(N($D16)-N($H16),"0")&amp;" "&amp;$E16)))</f>
        <v>· not ordered</v>
      </c>
      <c r="L16" s="117" t="s">
        <v>1523</v>
      </c>
    </row>
    <row r="17" customFormat="false" ht="15.75" hidden="false" customHeight="true" outlineLevel="0" collapsed="false">
      <c r="A17" s="116" t="s">
        <v>1495</v>
      </c>
      <c r="B17" s="14" t="s">
        <v>1524</v>
      </c>
      <c r="C17" s="116" t="s">
        <v>1191</v>
      </c>
      <c r="D17" s="102" t="n">
        <f aca="false">'Other Consumables'!D17</f>
        <v>5</v>
      </c>
      <c r="E17" s="116" t="s">
        <v>343</v>
      </c>
      <c r="F17" s="85" t="n">
        <f aca="false">D17*Assumptions!$B$92</f>
        <v>32.5</v>
      </c>
      <c r="G17" s="118" t="s">
        <v>1498</v>
      </c>
      <c r="H17" s="122" t="n">
        <v>2</v>
      </c>
      <c r="I17" s="122" t="str">
        <f aca="false">IF(AND($H17="",$J17=""),"· not ordered",IF($H17="","⚠ REVIEW",IF(N($H17)&gt;=N($D17),"✅ MET","⚠ SHORT "&amp;TEXT(N($D17)-N($H17),"0")&amp;" "&amp;$E17)))</f>
        <v>⚠ SHORT 3 bottles</v>
      </c>
      <c r="J17" s="1" t="s">
        <v>1525</v>
      </c>
      <c r="L17" s="1" t="s">
        <v>1526</v>
      </c>
    </row>
    <row r="18" customFormat="false" ht="15.75" hidden="false" customHeight="true" outlineLevel="0" collapsed="false">
      <c r="A18" s="116" t="s">
        <v>1495</v>
      </c>
      <c r="B18" s="14" t="s">
        <v>1527</v>
      </c>
      <c r="C18" s="116" t="s">
        <v>1191</v>
      </c>
      <c r="D18" s="102" t="n">
        <f aca="false">'Other Consumables'!D54</f>
        <v>1</v>
      </c>
      <c r="E18" s="116" t="s">
        <v>343</v>
      </c>
      <c r="F18" s="85" t="n">
        <f aca="false">D18*Assumptions!$B$232</f>
        <v>11</v>
      </c>
      <c r="G18" s="118" t="s">
        <v>1528</v>
      </c>
      <c r="H18" s="122"/>
      <c r="I18" s="122" t="str">
        <f aca="false">IF(AND($H18="",$J18=""),"· not ordered",IF($H18="","⚠ REVIEW",IF(N($H18)&gt;=N($D18),"✅ MET","⚠ SHORT "&amp;TEXT(N($D18)-N($H18),"0")&amp;" "&amp;$E18)))</f>
        <v>· not ordered</v>
      </c>
      <c r="L18" s="1" t="s">
        <v>1529</v>
      </c>
    </row>
    <row r="19" customFormat="false" ht="15.75" hidden="false" customHeight="true" outlineLevel="0" collapsed="false">
      <c r="A19" s="116" t="s">
        <v>1495</v>
      </c>
      <c r="B19" s="14" t="s">
        <v>1530</v>
      </c>
      <c r="C19" s="116" t="s">
        <v>1210</v>
      </c>
      <c r="D19" s="102" t="n">
        <v>2</v>
      </c>
      <c r="E19" s="116" t="s">
        <v>1531</v>
      </c>
      <c r="F19" s="85" t="n">
        <f aca="false">D19*8.99</f>
        <v>17.98</v>
      </c>
      <c r="G19" s="118" t="s">
        <v>1498</v>
      </c>
      <c r="H19" s="123" t="n">
        <v>2</v>
      </c>
      <c r="I19" s="122" t="str">
        <f aca="false">IF(AND($H19="",$J19=""),"· not ordered",IF($H19="","⚠ REVIEW",IF(N($H19)&gt;=N($D19),"✅ MET","⚠ SHORT "&amp;TEXT(N($D19)-N($H19),"0")&amp;" "&amp;$E19)))</f>
        <v>✅ MET</v>
      </c>
      <c r="J19" s="1" t="s">
        <v>1532</v>
      </c>
      <c r="L19" s="117" t="s">
        <v>1533</v>
      </c>
    </row>
    <row r="20" customFormat="false" ht="15.75" hidden="false" customHeight="true" outlineLevel="0" collapsed="false">
      <c r="A20" s="37" t="s">
        <v>1495</v>
      </c>
      <c r="B20" s="124" t="s">
        <v>1534</v>
      </c>
      <c r="C20" s="37" t="s">
        <v>1191</v>
      </c>
      <c r="D20" s="125" t="n">
        <f aca="false">'Other Consumables'!D55</f>
        <v>5</v>
      </c>
      <c r="E20" s="37" t="s">
        <v>343</v>
      </c>
      <c r="F20" s="75" t="n">
        <f aca="false">D20*Assumptions!$B$242</f>
        <v>81.25</v>
      </c>
      <c r="G20" s="126" t="s">
        <v>1498</v>
      </c>
      <c r="H20" s="127" t="n">
        <v>2</v>
      </c>
      <c r="I20" s="122" t="str">
        <f aca="false">IF(AND($H20="",$J20=""),"· not ordered",IF($H20="","⚠ REVIEW",IF(N($H20)&gt;=N($D20),"✅ MET","⚠ SHORT "&amp;TEXT(N($D20)-N($H20),"0")&amp;" "&amp;$E20)))</f>
        <v>⚠ SHORT 3 bottles</v>
      </c>
      <c r="J20" s="1" t="s">
        <v>1535</v>
      </c>
      <c r="L20" s="1" t="s">
        <v>1536</v>
      </c>
    </row>
    <row r="21" customFormat="false" ht="15.75" hidden="false" customHeight="true" outlineLevel="0" collapsed="false">
      <c r="A21" s="116" t="s">
        <v>1495</v>
      </c>
      <c r="B21" s="82" t="s">
        <v>1537</v>
      </c>
      <c r="C21" s="82" t="s">
        <v>1191</v>
      </c>
      <c r="D21" s="128" t="n">
        <f aca="false">'Other Consumables'!D57</f>
        <v>3</v>
      </c>
      <c r="E21" s="82" t="s">
        <v>343</v>
      </c>
      <c r="F21" s="88" t="n">
        <f aca="false">D21*Assumptions!$B$250</f>
        <v>48.72</v>
      </c>
      <c r="G21" s="129" t="s">
        <v>1498</v>
      </c>
      <c r="H21" s="119" t="n">
        <v>2</v>
      </c>
      <c r="I21" s="122" t="str">
        <f aca="false">IF(AND($H21="",$J21=""),"· not ordered",IF($H21="","⚠ REVIEW",IF(N($H21)&gt;=N($D21),"✅ MET","⚠ SHORT "&amp;TEXT(N($D21)-N($H21),"0")&amp;" "&amp;$E21)))</f>
        <v>⚠ SHORT 1 bottles</v>
      </c>
      <c r="J21" s="1" t="s">
        <v>1538</v>
      </c>
      <c r="L21" s="117" t="s">
        <v>1539</v>
      </c>
    </row>
    <row r="22" customFormat="false" ht="15.75" hidden="false" customHeight="true" outlineLevel="0" collapsed="false">
      <c r="A22" s="116" t="s">
        <v>1495</v>
      </c>
      <c r="B22" s="82" t="s">
        <v>1540</v>
      </c>
      <c r="C22" s="82" t="s">
        <v>1196</v>
      </c>
      <c r="D22" s="128" t="n">
        <f aca="false">'Other Consumables'!D48</f>
        <v>1</v>
      </c>
      <c r="E22" s="82" t="s">
        <v>343</v>
      </c>
      <c r="F22" s="88" t="n">
        <f aca="false">D22*Assumptions!$B$149</f>
        <v>4.5</v>
      </c>
      <c r="G22" s="129" t="s">
        <v>1541</v>
      </c>
      <c r="H22" s="119"/>
      <c r="I22" s="122" t="str">
        <f aca="false">IF(AND($H22="",$J22=""),"· not ordered",IF($H22="","⚠ REVIEW",IF(N($H22)&gt;=N($D22),"✅ MET","⚠ SHORT "&amp;TEXT(N($D22)-N($H22),"0")&amp;" "&amp;$E22)))</f>
        <v>· not ordered</v>
      </c>
      <c r="L22" s="117" t="s">
        <v>1542</v>
      </c>
    </row>
    <row r="23" customFormat="false" ht="15.75" hidden="false" customHeight="true" outlineLevel="0" collapsed="false">
      <c r="A23" s="37" t="s">
        <v>1495</v>
      </c>
      <c r="B23" s="124" t="s">
        <v>1543</v>
      </c>
      <c r="C23" s="37" t="s">
        <v>1188</v>
      </c>
      <c r="D23" s="125" t="n">
        <f aca="false">U23</f>
        <v>37</v>
      </c>
      <c r="E23" s="37" t="s">
        <v>1544</v>
      </c>
      <c r="F23" s="75" t="n">
        <f aca="false">'Base Soda — Cans'!E4*Assumptions!$B$16</f>
        <v>32</v>
      </c>
      <c r="G23" s="126" t="s">
        <v>1545</v>
      </c>
      <c r="H23" s="127"/>
      <c r="I23" s="122" t="str">
        <f aca="false">IF(AND($H23="",$J23=""),"· not ordered",IF($H23="","⚠ REVIEW",IF(N($H23)&gt;=N($D23),"✅ MET","⚠ SHORT "&amp;TEXT(N($D23)-N($H23),"0")&amp;" "&amp;$E23)))</f>
        <v>⚠ REVIEW</v>
      </c>
      <c r="J23" s="117" t="s">
        <v>1546</v>
      </c>
      <c r="K23" s="1" t="s">
        <v>1547</v>
      </c>
      <c r="L23" s="117" t="s">
        <v>1548</v>
      </c>
      <c r="R23" s="67" t="n">
        <f aca="false">'Base Soda — Cans'!B4</f>
        <v>382.5</v>
      </c>
      <c r="S23" s="67" t="n">
        <f aca="false">'Base Soda — Cans'!C4</f>
        <v>439.875</v>
      </c>
      <c r="T23" s="1" t="n">
        <f aca="false">MAX('Base Soda — Cans'!C4-'Base Soda — Cans'!H4,0)</f>
        <v>304.675</v>
      </c>
      <c r="U23" s="1" t="n">
        <f aca="false">CEILING(T23/(Assumptions!$B$7*Assumptions!$B$157),1)</f>
        <v>37</v>
      </c>
      <c r="V23" s="1" t="n">
        <f aca="false">CEILING(T23/(Assumptions!$B$165*Assumptions!$B$238),1)</f>
        <v>6</v>
      </c>
    </row>
    <row r="24" customFormat="false" ht="15.75" hidden="false" customHeight="true" outlineLevel="0" collapsed="false">
      <c r="A24" s="20" t="s">
        <v>1495</v>
      </c>
      <c r="B24" s="1" t="s">
        <v>1549</v>
      </c>
      <c r="C24" s="1" t="s">
        <v>1188</v>
      </c>
      <c r="D24" s="1" t="n">
        <f aca="false">U24</f>
        <v>72</v>
      </c>
      <c r="E24" s="1" t="s">
        <v>1544</v>
      </c>
      <c r="F24" s="1" t="n">
        <f aca="false">'Base Soda — Cans'!E5*Assumptions!$B$16</f>
        <v>48</v>
      </c>
      <c r="G24" s="130" t="s">
        <v>1545</v>
      </c>
      <c r="H24" s="122"/>
      <c r="I24" s="122" t="str">
        <f aca="false">IF(AND($H24="",$J24=""),"· not ordered",IF($H24="","⚠ REVIEW",IF(N($H24)&gt;=N($D24),"✅ MET","⚠ SHORT "&amp;TEXT(N($D24)-N($H24),"0")&amp;" "&amp;$E24)))</f>
        <v>⚠ REVIEW</v>
      </c>
      <c r="J24" s="117" t="s">
        <v>1550</v>
      </c>
      <c r="K24" s="117" t="s">
        <v>1551</v>
      </c>
      <c r="L24" s="1" t="s">
        <v>1552</v>
      </c>
      <c r="R24" s="67" t="n">
        <f aca="false">'Base Soda — Cans'!B5</f>
        <v>520</v>
      </c>
      <c r="S24" s="67" t="n">
        <f aca="false">'Base Soda — Cans'!C5</f>
        <v>598</v>
      </c>
      <c r="T24" s="1" t="n">
        <f aca="false">MAX('Base Soda — Cans'!C5-'Base Soda — Cans'!H5,0)</f>
        <v>598</v>
      </c>
      <c r="U24" s="1" t="n">
        <f aca="false">CEILING(T24/(Assumptions!$B$7*Assumptions!$B$157),1)</f>
        <v>72</v>
      </c>
      <c r="V24" s="1" t="n">
        <f aca="false">CEILING(T24/(Assumptions!$B$165*Assumptions!$B$238),1)</f>
        <v>10</v>
      </c>
    </row>
    <row r="25" customFormat="false" ht="15.75" hidden="false" customHeight="true" outlineLevel="0" collapsed="false">
      <c r="A25" s="1" t="s">
        <v>1495</v>
      </c>
      <c r="B25" s="1" t="s">
        <v>1553</v>
      </c>
      <c r="C25" s="1" t="s">
        <v>1188</v>
      </c>
      <c r="D25" s="1" t="n">
        <f aca="false">U25</f>
        <v>44</v>
      </c>
      <c r="E25" s="1" t="s">
        <v>1544</v>
      </c>
      <c r="F25" s="1" t="n">
        <f aca="false">'Base Soda — Cans'!E8*Assumptions!$B$16</f>
        <v>32</v>
      </c>
      <c r="G25" s="130" t="s">
        <v>1554</v>
      </c>
      <c r="H25" s="122"/>
      <c r="I25" s="122" t="str">
        <f aca="false">IF(AND($H25="",$J25=""),"· not ordered",IF($H25="","⚠ REVIEW",IF(N($H25)&gt;=N($D25),"✅ MET","⚠ SHORT "&amp;TEXT(N($D25)-N($H25),"0")&amp;" "&amp;$E25)))</f>
        <v>⚠ REVIEW</v>
      </c>
      <c r="J25" s="1" t="s">
        <v>1555</v>
      </c>
      <c r="L25" s="117" t="s">
        <v>1556</v>
      </c>
      <c r="R25" s="67" t="n">
        <f aca="false">'Base Soda — Cans'!B8</f>
        <v>320</v>
      </c>
      <c r="S25" s="67" t="n">
        <f aca="false">'Base Soda — Cans'!C8</f>
        <v>368</v>
      </c>
      <c r="T25" s="1" t="n">
        <f aca="false">MAX('Base Soda — Cans'!C8-'Base Soda — Cans'!H8,0)</f>
        <v>368</v>
      </c>
      <c r="U25" s="1" t="n">
        <f aca="false">CEILING(T25/(Assumptions!$B$7*Assumptions!$B$157),1)</f>
        <v>44</v>
      </c>
      <c r="V25" s="1" t="n">
        <f aca="false">CEILING(T25/(Assumptions!$B$165*Assumptions!$B$238),1)</f>
        <v>7</v>
      </c>
    </row>
    <row r="26" customFormat="false" ht="15.75" hidden="false" customHeight="true" outlineLevel="0" collapsed="false">
      <c r="A26" s="1" t="s">
        <v>1495</v>
      </c>
      <c r="B26" s="1" t="s">
        <v>1557</v>
      </c>
      <c r="C26" s="1" t="s">
        <v>1188</v>
      </c>
      <c r="D26" s="1" t="n">
        <f aca="false">U26</f>
        <v>17</v>
      </c>
      <c r="E26" s="1" t="s">
        <v>1544</v>
      </c>
      <c r="F26" s="1" t="n">
        <f aca="false">'Base Soda — Cans'!E9*Assumptions!$B$16</f>
        <v>16</v>
      </c>
      <c r="G26" s="130" t="s">
        <v>1554</v>
      </c>
      <c r="H26" s="122"/>
      <c r="I26" s="122" t="str">
        <f aca="false">IF(AND($H26="",$J26=""),"· not ordered",IF($H26="","⚠ REVIEW",IF(N($H26)&gt;=N($D26),"✅ MET","⚠ SHORT "&amp;TEXT(N($D26)-N($H26),"0")&amp;" "&amp;$E26)))</f>
        <v>⚠ REVIEW</v>
      </c>
      <c r="J26" s="1" t="s">
        <v>1555</v>
      </c>
      <c r="L26" s="117" t="s">
        <v>1558</v>
      </c>
      <c r="R26" s="67" t="n">
        <f aca="false">'Base Soda — Cans'!B9</f>
        <v>120</v>
      </c>
      <c r="S26" s="67" t="n">
        <f aca="false">'Base Soda — Cans'!C9</f>
        <v>138</v>
      </c>
      <c r="T26" s="1" t="n">
        <f aca="false">MAX('Base Soda — Cans'!C9-'Base Soda — Cans'!H9,0)</f>
        <v>138</v>
      </c>
      <c r="U26" s="1" t="n">
        <f aca="false">CEILING(T26/(Assumptions!$B$7*Assumptions!$B$157),1)</f>
        <v>17</v>
      </c>
      <c r="V26" s="1" t="n">
        <f aca="false">CEILING(T26/(Assumptions!$B$165*Assumptions!$B$238),1)</f>
        <v>3</v>
      </c>
    </row>
    <row r="27" customFormat="false" ht="15.75" hidden="false" customHeight="true" outlineLevel="0" collapsed="false">
      <c r="A27" s="1" t="s">
        <v>1495</v>
      </c>
      <c r="B27" s="1" t="s">
        <v>1559</v>
      </c>
      <c r="C27" s="1" t="s">
        <v>1188</v>
      </c>
      <c r="D27" s="1" t="n">
        <f aca="false">U27</f>
        <v>42</v>
      </c>
      <c r="E27" s="1" t="s">
        <v>1544</v>
      </c>
      <c r="F27" s="1" t="n">
        <f aca="false">'Base Soda — Cans'!E10*Assumptions!$B$16</f>
        <v>32</v>
      </c>
      <c r="G27" s="130" t="s">
        <v>1554</v>
      </c>
      <c r="H27" s="122"/>
      <c r="I27" s="122" t="str">
        <f aca="false">IF(AND($H27="",$J27=""),"· not ordered",IF($H27="","⚠ REVIEW",IF(N($H27)&gt;=N($D27),"✅ MET","⚠ SHORT "&amp;TEXT(N($D27)-N($H27),"0")&amp;" "&amp;$E27)))</f>
        <v>⚠ REVIEW</v>
      </c>
      <c r="J27" s="1" t="s">
        <v>1555</v>
      </c>
      <c r="L27" s="117" t="s">
        <v>1560</v>
      </c>
      <c r="R27" s="67" t="n">
        <f aca="false">'Base Soda — Cans'!B10</f>
        <v>300</v>
      </c>
      <c r="S27" s="67" t="n">
        <f aca="false">'Base Soda — Cans'!C10</f>
        <v>345</v>
      </c>
      <c r="T27" s="1" t="n">
        <f aca="false">MAX('Base Soda — Cans'!C10-'Base Soda — Cans'!H10,0)</f>
        <v>345</v>
      </c>
      <c r="U27" s="1" t="n">
        <f aca="false">CEILING(T27/(Assumptions!$B$7*Assumptions!$B$157),1)</f>
        <v>42</v>
      </c>
      <c r="V27" s="1" t="n">
        <f aca="false">CEILING(T27/(Assumptions!$B$165*Assumptions!$B$238),1)</f>
        <v>6</v>
      </c>
    </row>
    <row r="28" customFormat="false" ht="15.75" hidden="false" customHeight="true" outlineLevel="0" collapsed="false">
      <c r="A28" s="1" t="s">
        <v>1495</v>
      </c>
      <c r="B28" s="1" t="s">
        <v>1561</v>
      </c>
      <c r="C28" s="1" t="s">
        <v>1188</v>
      </c>
      <c r="D28" s="1" t="n">
        <f aca="false">U28</f>
        <v>22</v>
      </c>
      <c r="E28" s="1" t="s">
        <v>1544</v>
      </c>
      <c r="F28" s="1" t="n">
        <f aca="false">'Base Soda — Cans'!E13*Assumptions!$B$16</f>
        <v>16</v>
      </c>
      <c r="G28" s="130" t="s">
        <v>1554</v>
      </c>
      <c r="H28" s="122"/>
      <c r="I28" s="122" t="str">
        <f aca="false">IF(AND($H28="",$J28=""),"· not ordered",IF($H28="","⚠ REVIEW",IF(N($H28)&gt;=N($D28),"✅ MET","⚠ SHORT "&amp;TEXT(N($D28)-N($H28),"0")&amp;" "&amp;$E28)))</f>
        <v>⚠ REVIEW</v>
      </c>
      <c r="J28" s="1" t="s">
        <v>1555</v>
      </c>
      <c r="L28" s="117" t="s">
        <v>1562</v>
      </c>
      <c r="R28" s="1" t="n">
        <f aca="false">'Base Soda — Cans'!B13</f>
        <v>160</v>
      </c>
      <c r="S28" s="1" t="n">
        <f aca="false">'Base Soda — Cans'!C13</f>
        <v>184</v>
      </c>
      <c r="T28" s="1" t="n">
        <f aca="false">MAX('Base Soda — Cans'!C13-'Base Soda — Cans'!H13,0)</f>
        <v>184</v>
      </c>
      <c r="U28" s="1" t="n">
        <f aca="false">CEILING(T28/(Assumptions!$B$7*Assumptions!$B$157),1)</f>
        <v>22</v>
      </c>
      <c r="V28" s="1" t="n">
        <f aca="false">CEILING(T28/(Assumptions!$B$165*Assumptions!$B$238),1)</f>
        <v>4</v>
      </c>
    </row>
    <row r="29" customFormat="false" ht="15.75" hidden="false" customHeight="true" outlineLevel="0" collapsed="false">
      <c r="A29" s="1" t="s">
        <v>1495</v>
      </c>
      <c r="B29" s="1" t="s">
        <v>1563</v>
      </c>
      <c r="C29" s="1" t="s">
        <v>1188</v>
      </c>
      <c r="D29" s="67" t="n">
        <f aca="false">'Other Consumables'!D19</f>
        <v>6</v>
      </c>
      <c r="E29" s="1" t="s">
        <v>1564</v>
      </c>
      <c r="F29" s="1" t="n">
        <f aca="false">D29*Assumptions!$B$17</f>
        <v>27</v>
      </c>
      <c r="G29" s="130" t="s">
        <v>1545</v>
      </c>
      <c r="H29" s="122" t="n">
        <v>4</v>
      </c>
      <c r="I29" s="122" t="str">
        <f aca="false">IF(AND($H29="",$J29=""),"· not ordered",IF($H29="","⚠ REVIEW",IF(N($H29)&gt;=N($D29),"✅ MET","⚠ SHORT "&amp;TEXT(N($D29)-N($H29),"0")&amp;" "&amp;$E29)))</f>
        <v>⚠ SHORT 2 96 oz bottles (2-count packs)</v>
      </c>
      <c r="J29" s="1" t="s">
        <v>1565</v>
      </c>
      <c r="K29" s="1" t="s">
        <v>1566</v>
      </c>
      <c r="L29" s="117" t="s">
        <v>1567</v>
      </c>
    </row>
    <row r="30" customFormat="false" ht="15.75" hidden="false" customHeight="true" outlineLevel="0" collapsed="false">
      <c r="A30" s="1" t="s">
        <v>1495</v>
      </c>
      <c r="B30" s="1" t="s">
        <v>1568</v>
      </c>
      <c r="C30" s="1" t="s">
        <v>1202</v>
      </c>
      <c r="D30" s="29" t="n">
        <f aca="false">'Packaged Sizing'!B43</f>
        <v>2</v>
      </c>
      <c r="E30" s="1" t="s">
        <v>326</v>
      </c>
      <c r="F30" s="69" t="n">
        <f aca="false">'Packaged Sizing'!D43</f>
        <v>37.18</v>
      </c>
      <c r="G30" s="130" t="s">
        <v>1545</v>
      </c>
      <c r="H30" s="119" t="n">
        <v>2</v>
      </c>
      <c r="I30" s="122" t="str">
        <f aca="false">IF(AND($H30="",$J30=""),"· not ordered",IF($H30="","⚠ REVIEW",IF(N($H30)&gt;=N($D30),"✅ MET","⚠ SHORT "&amp;TEXT(N($D30)-N($H30),"0")&amp;" "&amp;$E30)))</f>
        <v>✅ MET</v>
      </c>
      <c r="J30" s="1" t="s">
        <v>1569</v>
      </c>
      <c r="K30" s="1" t="s">
        <v>1570</v>
      </c>
      <c r="L30" s="117" t="s">
        <v>1571</v>
      </c>
    </row>
    <row r="31" customFormat="false" ht="15.75" hidden="false" customHeight="true" outlineLevel="0" collapsed="false">
      <c r="A31" s="1" t="s">
        <v>1495</v>
      </c>
      <c r="B31" s="1" t="s">
        <v>1572</v>
      </c>
      <c r="C31" s="1" t="s">
        <v>1215</v>
      </c>
      <c r="D31" s="67" t="n">
        <f aca="false">'Other Consumables'!D26</f>
        <v>5</v>
      </c>
      <c r="E31" s="1" t="s">
        <v>343</v>
      </c>
      <c r="F31" s="69" t="n">
        <f aca="false">'Other Consumables'!F26</f>
        <v>75</v>
      </c>
      <c r="G31" s="130" t="s">
        <v>1573</v>
      </c>
      <c r="H31" s="122" t="n">
        <v>9.32</v>
      </c>
      <c r="I31" s="122" t="str">
        <f aca="false">IF(AND($H31="",$J31=""),"· not ordered",IF($H31="","⚠ REVIEW",IF(N($H31)&gt;=N($D31),"✅ MET","⚠ SHORT "&amp;TEXT(N($D31)-N($H31),"0")&amp;" "&amp;$E31)))</f>
        <v>✅ MET</v>
      </c>
      <c r="J31" s="1" t="s">
        <v>1574</v>
      </c>
      <c r="L31" s="117" t="s">
        <v>1575</v>
      </c>
    </row>
    <row r="32" customFormat="false" ht="15.75" hidden="false" customHeight="true" outlineLevel="0" collapsed="false">
      <c r="A32" s="37" t="s">
        <v>1495</v>
      </c>
      <c r="B32" s="124" t="s">
        <v>1576</v>
      </c>
      <c r="C32" s="37" t="s">
        <v>1215</v>
      </c>
      <c r="D32" s="125" t="n">
        <f aca="false">'Other Consumables'!D27</f>
        <v>1</v>
      </c>
      <c r="E32" s="37" t="s">
        <v>343</v>
      </c>
      <c r="F32" s="75" t="n">
        <f aca="false">'Other Consumables'!F27</f>
        <v>15.49</v>
      </c>
      <c r="G32" s="126" t="s">
        <v>1573</v>
      </c>
      <c r="H32" s="127" t="n">
        <v>2.33</v>
      </c>
      <c r="I32" s="122" t="str">
        <f aca="false">IF(AND($H32="",$J32=""),"· not ordered",IF($H32="","⚠ REVIEW",IF(N($H32)&gt;=N($D32),"✅ MET","⚠ SHORT "&amp;TEXT(N($D32)-N($H32),"0")&amp;" "&amp;$E32)))</f>
        <v>✅ MET</v>
      </c>
      <c r="J32" s="1" t="s">
        <v>1577</v>
      </c>
      <c r="L32" s="117" t="s">
        <v>1578</v>
      </c>
    </row>
    <row r="33" customFormat="false" ht="15.75" hidden="false" customHeight="true" outlineLevel="0" collapsed="false">
      <c r="A33" s="131" t="s">
        <v>1495</v>
      </c>
      <c r="B33" s="132" t="s">
        <v>1579</v>
      </c>
      <c r="C33" s="37" t="s">
        <v>1215</v>
      </c>
      <c r="D33" s="125" t="n">
        <f aca="false">'Other Consumables'!D28</f>
        <v>5</v>
      </c>
      <c r="E33" s="37" t="s">
        <v>343</v>
      </c>
      <c r="F33" s="133" t="n">
        <f aca="false">'Other Consumables'!F28</f>
        <v>70</v>
      </c>
      <c r="G33" s="126" t="s">
        <v>1573</v>
      </c>
      <c r="H33" s="127" t="n">
        <v>6.99</v>
      </c>
      <c r="I33" s="122" t="str">
        <f aca="false">IF(AND($H33="",$J33=""),"· not ordered",IF($H33="","⚠ REVIEW",IF(N($H33)&gt;=N($D33),"✅ MET","⚠ SHORT "&amp;TEXT(N($D33)-N($H33),"0")&amp;" "&amp;$E33)))</f>
        <v>✅ MET</v>
      </c>
      <c r="J33" s="1" t="s">
        <v>1580</v>
      </c>
      <c r="L33" s="117" t="s">
        <v>1581</v>
      </c>
    </row>
    <row r="34" customFormat="false" ht="15.75" hidden="false" customHeight="true" outlineLevel="0" collapsed="false">
      <c r="A34" s="131" t="s">
        <v>1495</v>
      </c>
      <c r="B34" s="132" t="s">
        <v>1582</v>
      </c>
      <c r="C34" s="37" t="s">
        <v>1215</v>
      </c>
      <c r="D34" s="125" t="n">
        <f aca="false">'Other Consumables'!D29</f>
        <v>10</v>
      </c>
      <c r="E34" s="37" t="s">
        <v>343</v>
      </c>
      <c r="F34" s="133" t="n">
        <f aca="false">'Other Consumables'!F29</f>
        <v>260</v>
      </c>
      <c r="G34" s="126" t="s">
        <v>1573</v>
      </c>
      <c r="H34" s="122" t="n">
        <v>9.31</v>
      </c>
      <c r="I34" s="122" t="str">
        <f aca="false">IF(AND($H34="",$J34=""),"· not ordered",IF($H34="","⚠ REVIEW",IF(N($H34)&gt;=N($D34),"✅ MET","⚠ SHORT "&amp;TEXT(N($D34)-N($H34),"0")&amp;" "&amp;$E34)))</f>
        <v>⚠ SHORT 1 bottles</v>
      </c>
      <c r="J34" s="1" t="s">
        <v>1583</v>
      </c>
      <c r="L34" s="1" t="s">
        <v>1584</v>
      </c>
    </row>
    <row r="35" customFormat="false" ht="15" hidden="false" customHeight="true" outlineLevel="0" collapsed="false">
      <c r="A35" s="131" t="s">
        <v>1495</v>
      </c>
      <c r="B35" s="132" t="s">
        <v>1585</v>
      </c>
      <c r="C35" s="37" t="s">
        <v>1215</v>
      </c>
      <c r="D35" s="125" t="n">
        <f aca="false">'Other Consumables'!D30</f>
        <v>2</v>
      </c>
      <c r="E35" s="37" t="s">
        <v>343</v>
      </c>
      <c r="F35" s="133" t="n">
        <f aca="false">'Other Consumables'!F30</f>
        <v>31.98</v>
      </c>
      <c r="G35" s="126" t="s">
        <v>1573</v>
      </c>
      <c r="H35" s="122" t="n">
        <v>4.66</v>
      </c>
      <c r="I35" s="122" t="str">
        <f aca="false">IF(AND($H35="",$J35=""),"· not ordered",IF($H35="","⚠ REVIEW",IF(N($H35)&gt;=N($D35),"✅ MET","⚠ SHORT "&amp;TEXT(N($D35)-N($H35),"0")&amp;" "&amp;$E35)))</f>
        <v>✅ MET</v>
      </c>
      <c r="J35" s="1" t="s">
        <v>1586</v>
      </c>
      <c r="L35" s="1" t="s">
        <v>1587</v>
      </c>
    </row>
    <row r="36" customFormat="false" ht="15" hidden="false" customHeight="true" outlineLevel="0" collapsed="false">
      <c r="A36" s="131" t="s">
        <v>1495</v>
      </c>
      <c r="B36" s="132" t="s">
        <v>1588</v>
      </c>
      <c r="C36" s="37" t="s">
        <v>1215</v>
      </c>
      <c r="D36" s="125" t="n">
        <f aca="false">'Other Consumables'!D31</f>
        <v>5</v>
      </c>
      <c r="E36" s="37" t="s">
        <v>343</v>
      </c>
      <c r="F36" s="133" t="n">
        <f aca="false">'Other Consumables'!F31</f>
        <v>124.95</v>
      </c>
      <c r="G36" s="126" t="s">
        <v>1573</v>
      </c>
      <c r="H36" s="122" t="n">
        <v>4.66</v>
      </c>
      <c r="I36" s="122" t="str">
        <f aca="false">IF(AND($H36="",$J36=""),"· not ordered",IF($H36="","⚠ REVIEW",IF(N($H36)&gt;=N($D36),"✅ MET","⚠ SHORT "&amp;TEXT(N($D36)-N($H36),"0")&amp;" "&amp;$E36)))</f>
        <v>⚠ SHORT 0 bottles</v>
      </c>
      <c r="J36" s="1" t="s">
        <v>1589</v>
      </c>
      <c r="L36" s="117" t="s">
        <v>1590</v>
      </c>
    </row>
    <row r="37" customFormat="false" ht="15" hidden="false" customHeight="true" outlineLevel="0" collapsed="false">
      <c r="A37" s="131" t="s">
        <v>1495</v>
      </c>
      <c r="B37" s="132" t="s">
        <v>1591</v>
      </c>
      <c r="C37" s="37" t="s">
        <v>1196</v>
      </c>
      <c r="D37" s="125" t="n">
        <f aca="false">'Other Consumables'!D42</f>
        <v>3</v>
      </c>
      <c r="E37" s="37" t="s">
        <v>1592</v>
      </c>
      <c r="F37" s="133" t="n">
        <f aca="false">D37*Assumptions!$B$110</f>
        <v>14.04</v>
      </c>
      <c r="G37" s="126" t="s">
        <v>1545</v>
      </c>
      <c r="H37" s="122"/>
      <c r="I37" s="122" t="str">
        <f aca="false">IF(AND($H37="",$J37=""),"· not ordered",IF($H37="","⚠ REVIEW",IF(N($H37)&gt;=N($D37),"✅ MET","⚠ SHORT "&amp;TEXT(N($D37)-N($H37),"0")&amp;" "&amp;$E37)))</f>
        <v>· not ordered</v>
      </c>
      <c r="L37" s="1" t="s">
        <v>1593</v>
      </c>
    </row>
    <row r="38" customFormat="false" ht="15.75" hidden="false" customHeight="true" outlineLevel="0" collapsed="false">
      <c r="A38" s="131" t="s">
        <v>1495</v>
      </c>
      <c r="B38" s="132" t="s">
        <v>1594</v>
      </c>
      <c r="C38" s="37" t="s">
        <v>1202</v>
      </c>
      <c r="D38" s="125" t="n">
        <f aca="false">'Packaged Sizing'!B40</f>
        <v>7</v>
      </c>
      <c r="E38" s="37" t="s">
        <v>326</v>
      </c>
      <c r="F38" s="133" t="n">
        <f aca="false">'Packaged Sizing'!D40</f>
        <v>140</v>
      </c>
      <c r="G38" s="126" t="s">
        <v>1595</v>
      </c>
      <c r="H38" s="122" t="n">
        <v>6.67</v>
      </c>
      <c r="I38" s="122" t="str">
        <f aca="false">IF(AND($H38="",$J38=""),"· not ordered",IF($H38="","⚠ REVIEW",IF(N($H38)&gt;=N($D38),"✅ MET","⚠ SHORT "&amp;TEXT(N($D38)-N($H38),"0")&amp;" "&amp;$E38)))</f>
        <v>⚠ SHORT 0 12-packs</v>
      </c>
      <c r="J38" s="1" t="s">
        <v>1596</v>
      </c>
      <c r="L38" s="117" t="s">
        <v>1597</v>
      </c>
    </row>
    <row r="39" customFormat="false" ht="15.75" hidden="false" customHeight="true" outlineLevel="0" collapsed="false">
      <c r="A39" s="131" t="s">
        <v>1495</v>
      </c>
      <c r="B39" s="132" t="s">
        <v>1598</v>
      </c>
      <c r="C39" s="134" t="s">
        <v>1202</v>
      </c>
      <c r="D39" s="125" t="n">
        <f aca="false">'Packaged Sizing'!B45</f>
        <v>3</v>
      </c>
      <c r="E39" s="37" t="s">
        <v>332</v>
      </c>
      <c r="F39" s="133" t="n">
        <f aca="false">'Packaged Sizing'!D45</f>
        <v>79.5</v>
      </c>
      <c r="G39" s="126" t="s">
        <v>1573</v>
      </c>
      <c r="H39" s="122" t="n">
        <v>3</v>
      </c>
      <c r="I39" s="122" t="str">
        <f aca="false">IF(AND($H39="",$J39=""),"· not ordered",IF($H39="","⚠ REVIEW",IF(N($H39)&gt;=N($D39),"✅ MET","⚠ SHORT "&amp;TEXT(N($D39)-N($H39),"0")&amp;" "&amp;$E39)))</f>
        <v>✅ MET</v>
      </c>
      <c r="J39" s="1" t="s">
        <v>1599</v>
      </c>
      <c r="K39" s="117"/>
      <c r="L39" s="117" t="s">
        <v>1600</v>
      </c>
    </row>
    <row r="40" customFormat="false" ht="15.75" hidden="false" customHeight="true" outlineLevel="0" collapsed="false">
      <c r="A40" s="131" t="s">
        <v>1495</v>
      </c>
      <c r="B40" s="132" t="s">
        <v>1601</v>
      </c>
      <c r="C40" s="37" t="s">
        <v>1212</v>
      </c>
      <c r="D40" s="125" t="n">
        <f aca="false">'Jug Recipes'!D18</f>
        <v>2</v>
      </c>
      <c r="E40" s="37" t="s">
        <v>1602</v>
      </c>
      <c r="F40" s="133" t="n">
        <f aca="false">'Jug Recipes'!F18</f>
        <v>14</v>
      </c>
      <c r="G40" s="126" t="s">
        <v>1545</v>
      </c>
      <c r="H40" s="122"/>
      <c r="I40" s="122" t="str">
        <f aca="false">IF(AND($H40="",$J40=""),"· not ordered",IF($H40="","⚠ REVIEW",IF(N($H40)&gt;=N($D40),"✅ MET","⚠ SHORT "&amp;TEXT(N($D40)-N($H40),"0")&amp;" "&amp;$E40)))</f>
        <v>· not ordered</v>
      </c>
      <c r="L40" s="117" t="s">
        <v>1603</v>
      </c>
    </row>
    <row r="41" customFormat="false" ht="15.75" hidden="false" customHeight="true" outlineLevel="0" collapsed="false">
      <c r="A41" s="131" t="s">
        <v>1495</v>
      </c>
      <c r="B41" s="132" t="s">
        <v>1604</v>
      </c>
      <c r="C41" s="37" t="s">
        <v>1212</v>
      </c>
      <c r="D41" s="125" t="n">
        <f aca="false">'Jug Recipes'!D19</f>
        <v>2</v>
      </c>
      <c r="E41" s="37" t="s">
        <v>343</v>
      </c>
      <c r="F41" s="133" t="n">
        <f aca="false">'Jug Recipes'!F19</f>
        <v>9.5</v>
      </c>
      <c r="G41" s="126" t="s">
        <v>1545</v>
      </c>
      <c r="H41" s="122" t="n">
        <v>2</v>
      </c>
      <c r="I41" s="122" t="str">
        <f aca="false">IF(AND($H41="",$J41=""),"· not ordered",IF($H41="","⚠ REVIEW",IF(N($H41)&gt;=N($D41),"✅ MET","⚠ SHORT "&amp;TEXT(N($D41)-N($H41),"0")&amp;" "&amp;$E41)))</f>
        <v>✅ MET</v>
      </c>
      <c r="J41" s="1" t="s">
        <v>1605</v>
      </c>
      <c r="K41" s="1" t="s">
        <v>1606</v>
      </c>
      <c r="L41" s="117" t="s">
        <v>1607</v>
      </c>
    </row>
    <row r="42" customFormat="false" ht="15.75" hidden="false" customHeight="true" outlineLevel="0" collapsed="false">
      <c r="A42" s="131" t="s">
        <v>1495</v>
      </c>
      <c r="B42" s="132" t="s">
        <v>224</v>
      </c>
      <c r="C42" s="37" t="s">
        <v>1212</v>
      </c>
      <c r="D42" s="125" t="n">
        <f aca="false">'Jug Recipes'!D23</f>
        <v>2</v>
      </c>
      <c r="E42" s="37" t="s">
        <v>1608</v>
      </c>
      <c r="F42" s="133" t="n">
        <f aca="false">'Jug Recipes'!F23</f>
        <v>14.98</v>
      </c>
      <c r="G42" s="126" t="s">
        <v>1545</v>
      </c>
      <c r="H42" s="119"/>
      <c r="I42" s="122" t="str">
        <f aca="false">IF(AND($H42="",$J42=""),"· not ordered",IF($H42="","⚠ REVIEW",IF(N($H42)&gt;=N($D42),"✅ MET","⚠ SHORT "&amp;TEXT(N($D42)-N($H42),"0")&amp;" "&amp;$E42)))</f>
        <v>· not ordered</v>
      </c>
      <c r="L42" s="1" t="s">
        <v>1609</v>
      </c>
    </row>
    <row r="43" customFormat="false" ht="15.75" hidden="false" customHeight="true" outlineLevel="0" collapsed="false">
      <c r="A43" s="1" t="s">
        <v>1495</v>
      </c>
      <c r="B43" s="23" t="s">
        <v>1610</v>
      </c>
      <c r="C43" s="1" t="s">
        <v>1212</v>
      </c>
      <c r="D43" s="29" t="n">
        <f aca="false">'Jug Recipes'!D24</f>
        <v>1</v>
      </c>
      <c r="E43" s="1" t="s">
        <v>1611</v>
      </c>
      <c r="F43" s="69" t="n">
        <f aca="false">'Jug Recipes'!F24</f>
        <v>13.99</v>
      </c>
      <c r="G43" s="1" t="s">
        <v>1545</v>
      </c>
      <c r="H43" s="119" t="n">
        <v>1</v>
      </c>
      <c r="I43" s="122" t="str">
        <f aca="false">IF(AND($H43="",$J43=""),"· not ordered",IF($H43="","⚠ REVIEW",IF(N($H43)&gt;=N($D43),"✅ MET","⚠ SHORT "&amp;TEXT(N($D43)-N($H43),"0")&amp;" "&amp;$E43)))</f>
        <v>✅ MET</v>
      </c>
      <c r="J43" s="1" t="s">
        <v>1612</v>
      </c>
      <c r="K43" s="1" t="s">
        <v>1613</v>
      </c>
    </row>
    <row r="44" customFormat="false" ht="15.75" hidden="false" customHeight="true" outlineLevel="0" collapsed="false">
      <c r="A44" s="1" t="s">
        <v>1495</v>
      </c>
      <c r="B44" s="23" t="s">
        <v>1614</v>
      </c>
      <c r="C44" s="1" t="s">
        <v>1218</v>
      </c>
      <c r="D44" s="29" t="n">
        <v>1</v>
      </c>
      <c r="E44" s="1" t="s">
        <v>1615</v>
      </c>
      <c r="F44" s="69" t="n">
        <v>11</v>
      </c>
      <c r="G44" s="1" t="s">
        <v>1545</v>
      </c>
      <c r="H44" s="119"/>
      <c r="I44" s="122" t="str">
        <f aca="false">IF(AND($H44="",$J44=""),"· not ordered",IF($H44="","⚠ REVIEW",IF(N($H44)&gt;=N($D44),"✅ MET","⚠ SHORT "&amp;TEXT(N($D44)-N($H44),"0")&amp;" "&amp;$E44)))</f>
        <v>· not ordered</v>
      </c>
      <c r="L44" s="117" t="s">
        <v>1616</v>
      </c>
    </row>
    <row r="45" customFormat="false" ht="15.75" hidden="false" customHeight="true" outlineLevel="0" collapsed="false">
      <c r="A45" s="1" t="s">
        <v>1495</v>
      </c>
      <c r="B45" s="23" t="s">
        <v>1617</v>
      </c>
      <c r="C45" s="1" t="s">
        <v>1218</v>
      </c>
      <c r="D45" s="29" t="n">
        <v>1</v>
      </c>
      <c r="E45" s="1" t="s">
        <v>1508</v>
      </c>
      <c r="F45" s="69" t="n">
        <v>6</v>
      </c>
      <c r="G45" s="1" t="s">
        <v>1554</v>
      </c>
      <c r="H45" s="119"/>
      <c r="I45" s="122" t="str">
        <f aca="false">IF(AND($H45="",$J45=""),"· not ordered",IF($H45="","⚠ REVIEW",IF(N($H45)&gt;=N($D45),"✅ MET","⚠ SHORT "&amp;TEXT(N($D45)-N($H45),"0")&amp;" "&amp;$E45)))</f>
        <v>· not ordered</v>
      </c>
      <c r="L45" s="117" t="s">
        <v>1618</v>
      </c>
    </row>
    <row r="46" customFormat="false" ht="15" hidden="false" customHeight="true" outlineLevel="0" collapsed="false">
      <c r="A46" s="116" t="s">
        <v>1495</v>
      </c>
      <c r="B46" s="14" t="s">
        <v>1619</v>
      </c>
      <c r="C46" s="116" t="s">
        <v>1218</v>
      </c>
      <c r="D46" s="102" t="n">
        <v>0</v>
      </c>
      <c r="E46" s="116" t="s">
        <v>1497</v>
      </c>
      <c r="F46" s="85" t="n">
        <v>0</v>
      </c>
      <c r="G46" s="118" t="s">
        <v>1545</v>
      </c>
      <c r="H46" s="122"/>
      <c r="I46" s="122" t="str">
        <f aca="false">IF(AND($H46="",$J46=""),"· not ordered",IF($H46="","⚠ REVIEW",IF(N($H46)&gt;=N($D46),"✅ MET","⚠ SHORT "&amp;TEXT(N($D46)-N($H46),"0")&amp;" "&amp;$E46)))</f>
        <v>· not ordered</v>
      </c>
      <c r="L46" s="1" t="s">
        <v>1620</v>
      </c>
    </row>
    <row r="47" customFormat="false" ht="15" hidden="false" customHeight="true" outlineLevel="0" collapsed="false">
      <c r="A47" s="116" t="s">
        <v>1495</v>
      </c>
      <c r="B47" s="14" t="s">
        <v>1621</v>
      </c>
      <c r="C47" s="116" t="s">
        <v>1218</v>
      </c>
      <c r="D47" s="102" t="n">
        <v>8</v>
      </c>
      <c r="E47" s="116" t="s">
        <v>1497</v>
      </c>
      <c r="F47" s="85" t="n">
        <v>13</v>
      </c>
      <c r="G47" s="118" t="s">
        <v>1545</v>
      </c>
      <c r="H47" s="122"/>
      <c r="I47" s="122" t="str">
        <f aca="false">IF(AND($H47="",$J47=""),"· not ordered",IF($H47="","⚠ REVIEW",IF(N($H47)&gt;=N($D47),"✅ MET","⚠ SHORT "&amp;TEXT(N($D47)-N($H47),"0")&amp;" "&amp;$E47)))</f>
        <v>· not ordered</v>
      </c>
      <c r="L47" s="117" t="s">
        <v>1622</v>
      </c>
    </row>
    <row r="48" customFormat="false" ht="15" hidden="false" customHeight="true" outlineLevel="0" collapsed="false">
      <c r="A48" s="116" t="s">
        <v>1495</v>
      </c>
      <c r="B48" s="14" t="s">
        <v>1623</v>
      </c>
      <c r="C48" s="116" t="s">
        <v>1196</v>
      </c>
      <c r="D48" s="102" t="n">
        <f aca="false">'Other Consumables'!D40</f>
        <v>35</v>
      </c>
      <c r="E48" s="116" t="s">
        <v>1497</v>
      </c>
      <c r="F48" s="85" t="n">
        <f aca="false">D48*Assumptions!$B$112</f>
        <v>11.2</v>
      </c>
      <c r="G48" s="118" t="s">
        <v>1545</v>
      </c>
      <c r="H48" s="122"/>
      <c r="I48" s="122" t="str">
        <f aca="false">IF(AND($H48="",$J48=""),"· not ordered",IF($H48="","⚠ REVIEW",IF(N($H48)&gt;=N($D48),"✅ MET","⚠ SHORT "&amp;TEXT(N($D48)-N($H48),"0")&amp;" "&amp;$E48)))</f>
        <v>· not ordered</v>
      </c>
      <c r="L48" s="1" t="s">
        <v>1624</v>
      </c>
    </row>
    <row r="49" customFormat="false" ht="15.75" hidden="false" customHeight="true" outlineLevel="0" collapsed="false">
      <c r="A49" s="116" t="s">
        <v>1495</v>
      </c>
      <c r="B49" s="14" t="s">
        <v>1625</v>
      </c>
      <c r="C49" s="116" t="s">
        <v>1196</v>
      </c>
      <c r="D49" s="102" t="n">
        <f aca="false">'Other Consumables'!D41</f>
        <v>0</v>
      </c>
      <c r="E49" s="116" t="s">
        <v>343</v>
      </c>
      <c r="F49" s="85" t="n">
        <f aca="false">D49*Assumptions!$B$107</f>
        <v>0</v>
      </c>
      <c r="G49" s="118" t="s">
        <v>1545</v>
      </c>
      <c r="H49" s="119"/>
      <c r="I49" s="122" t="str">
        <f aca="false">IF(AND($H49="",$J49=""),"· not ordered",IF($H49="","⚠ REVIEW",IF(N($H49)&gt;=N($D49),"✅ MET","⚠ SHORT "&amp;TEXT(N($D49)-N($H49),"0")&amp;" "&amp;$E49)))</f>
        <v>· not ordered</v>
      </c>
      <c r="L49" s="117" t="s">
        <v>1626</v>
      </c>
    </row>
    <row r="50" customFormat="false" ht="15.75" hidden="false" customHeight="true" outlineLevel="0" collapsed="false">
      <c r="A50" s="1" t="s">
        <v>1495</v>
      </c>
      <c r="B50" s="1" t="s">
        <v>1627</v>
      </c>
      <c r="C50" s="1" t="s">
        <v>1196</v>
      </c>
      <c r="D50" s="67" t="n">
        <f aca="false">'Other Consumables'!D43</f>
        <v>0</v>
      </c>
      <c r="E50" s="1" t="s">
        <v>1608</v>
      </c>
      <c r="F50" s="1" t="n">
        <f aca="false">D50*Assumptions!$B$70</f>
        <v>0</v>
      </c>
      <c r="G50" s="130" t="s">
        <v>1545</v>
      </c>
      <c r="H50" s="122"/>
      <c r="I50" s="122" t="str">
        <f aca="false">IF(AND($H50="",$J50=""),"· not ordered",IF($H50="","⚠ REVIEW",IF(N($H50)&gt;=N($D50),"✅ MET","⚠ SHORT "&amp;TEXT(N($D50)-N($H50),"0")&amp;" "&amp;$E50)))</f>
        <v>· not ordered</v>
      </c>
      <c r="L50" s="117" t="s">
        <v>1628</v>
      </c>
    </row>
    <row r="51" customFormat="false" ht="15.75" hidden="false" customHeight="true" outlineLevel="0" collapsed="false">
      <c r="G51" s="130"/>
      <c r="H51" s="122"/>
      <c r="I51" s="122" t="str">
        <f aca="false">IF(AND($H51="",$J51=""),"· not ordered",IF($H51="","⚠ REVIEW",IF(N($H51)&gt;=N($D51),"✅ MET","⚠ SHORT "&amp;TEXT(N($D51)-N($H51),"0")&amp;" "&amp;$E51)))</f>
        <v>· not ordered</v>
      </c>
    </row>
    <row r="52" customFormat="false" ht="15.75" hidden="false" customHeight="true" outlineLevel="0" collapsed="false">
      <c r="A52" s="1" t="s">
        <v>1495</v>
      </c>
      <c r="B52" s="1" t="s">
        <v>1629</v>
      </c>
      <c r="C52" s="1" t="s">
        <v>1199</v>
      </c>
      <c r="D52" s="67" t="n">
        <f aca="false">'Other Consumables'!D45</f>
        <v>121</v>
      </c>
      <c r="E52" s="1" t="s">
        <v>1497</v>
      </c>
      <c r="F52" s="1" t="n">
        <f aca="false">D52*Assumptions!$B$112</f>
        <v>38.72</v>
      </c>
      <c r="G52" s="130" t="s">
        <v>1554</v>
      </c>
      <c r="H52" s="122"/>
      <c r="I52" s="122" t="str">
        <f aca="false">IF(AND($H52="",$J52=""),"· not ordered",IF($H52="","⚠ REVIEW",IF(N($H52)&gt;=N($D52),"✅ MET","⚠ SHORT "&amp;TEXT(N($D52)-N($H52),"0")&amp;" "&amp;$E52)))</f>
        <v>· not ordered</v>
      </c>
      <c r="L52" s="1" t="s">
        <v>1630</v>
      </c>
    </row>
    <row r="53" customFormat="false" ht="15.75" hidden="false" customHeight="true" outlineLevel="0" collapsed="false">
      <c r="A53" s="1" t="s">
        <v>1495</v>
      </c>
      <c r="B53" s="1" t="s">
        <v>1631</v>
      </c>
      <c r="C53" s="1" t="s">
        <v>1196</v>
      </c>
      <c r="D53" s="67" t="n">
        <f aca="false">'Other Consumables'!D46</f>
        <v>1</v>
      </c>
      <c r="E53" s="1" t="s">
        <v>343</v>
      </c>
      <c r="F53" s="1" t="n">
        <f aca="false">D53*Assumptions!$B$130</f>
        <v>6.17</v>
      </c>
      <c r="G53" s="130" t="s">
        <v>1545</v>
      </c>
      <c r="H53" s="122"/>
      <c r="I53" s="122" t="str">
        <f aca="false">IF(AND($H53="",$J53=""),"· not ordered",IF($H53="","⚠ REVIEW",IF(N($H53)&gt;=N($D53),"✅ MET","⚠ SHORT "&amp;TEXT(N($D53)-N($H53),"0")&amp;" "&amp;$E53)))</f>
        <v>· not ordered</v>
      </c>
      <c r="L53" s="1" t="s">
        <v>1632</v>
      </c>
    </row>
    <row r="54" customFormat="false" ht="15.75" hidden="false" customHeight="true" outlineLevel="0" collapsed="false">
      <c r="A54" s="1" t="s">
        <v>1495</v>
      </c>
      <c r="B54" s="1" t="s">
        <v>1633</v>
      </c>
      <c r="C54" s="1" t="s">
        <v>1196</v>
      </c>
      <c r="D54" s="67" t="n">
        <f aca="false">'Other Consumables'!D47</f>
        <v>1</v>
      </c>
      <c r="E54" s="1" t="s">
        <v>343</v>
      </c>
      <c r="F54" s="1" t="n">
        <f aca="false">D54*Assumptions!$B$133</f>
        <v>4.75</v>
      </c>
      <c r="G54" s="130" t="s">
        <v>1545</v>
      </c>
      <c r="H54" s="122" t="n">
        <v>1</v>
      </c>
      <c r="I54" s="122" t="str">
        <f aca="false">IF(AND($H54="",$J54=""),"· not ordered",IF($H54="","⚠ REVIEW",IF(N($H54)&gt;=N($D54),"✅ MET","⚠ SHORT "&amp;TEXT(N($D54)-N($H54),"0")&amp;" "&amp;$E54)))</f>
        <v>✅ MET</v>
      </c>
      <c r="J54" s="1" t="s">
        <v>1634</v>
      </c>
      <c r="K54" s="1" t="s">
        <v>1606</v>
      </c>
      <c r="L54" s="117" t="s">
        <v>1635</v>
      </c>
    </row>
    <row r="55" customFormat="false" ht="15.75" hidden="false" customHeight="true" outlineLevel="0" collapsed="false">
      <c r="A55" s="1" t="s">
        <v>1495</v>
      </c>
      <c r="B55" s="1" t="s">
        <v>1636</v>
      </c>
      <c r="C55" s="1" t="s">
        <v>1222</v>
      </c>
      <c r="D55" s="29" t="n">
        <f aca="false">'Camp Drinks'!B17</f>
        <v>48</v>
      </c>
      <c r="E55" s="1" t="s">
        <v>1544</v>
      </c>
      <c r="F55" s="61" t="n">
        <f aca="false">'Camp Drinks'!H17</f>
        <v>72</v>
      </c>
      <c r="G55" s="130" t="s">
        <v>1545</v>
      </c>
      <c r="H55" s="122" t="n">
        <v>72</v>
      </c>
      <c r="I55" s="122" t="str">
        <f aca="false">IF(AND($H55="",$J55=""),"· not ordered",IF($H55="","⚠ REVIEW",IF(N($H55)&gt;=N($D55),"✅ MET","⚠ SHORT "&amp;TEXT(N($D55)-N($H55),"0")&amp;" "&amp;$E55)))</f>
        <v>✅ MET</v>
      </c>
      <c r="J55" s="1" t="s">
        <v>1637</v>
      </c>
      <c r="K55" s="117" t="s">
        <v>1638</v>
      </c>
      <c r="L55" s="117" t="s">
        <v>1639</v>
      </c>
    </row>
    <row r="56" customFormat="false" ht="15.75" hidden="false" customHeight="true" outlineLevel="0" collapsed="false">
      <c r="A56" s="1" t="s">
        <v>1495</v>
      </c>
      <c r="B56" s="1" t="s">
        <v>1640</v>
      </c>
      <c r="C56" s="1" t="s">
        <v>1222</v>
      </c>
      <c r="D56" s="29" t="n">
        <f aca="false">'Camp Drinks'!B18</f>
        <v>120</v>
      </c>
      <c r="E56" s="1" t="s">
        <v>1544</v>
      </c>
      <c r="F56" s="61" t="n">
        <f aca="false">'Camp Drinks'!H18</f>
        <v>152.45</v>
      </c>
      <c r="G56" s="130" t="s">
        <v>1641</v>
      </c>
      <c r="H56" s="122" t="n">
        <v>126</v>
      </c>
      <c r="I56" s="122" t="str">
        <f aca="false">IF(AND($H56="",$J56=""),"· not ordered",IF($H56="","⚠ REVIEW",IF(N($H56)&gt;=N($D56),"✅ MET","⚠ SHORT "&amp;TEXT(N($D56)-N($H56),"0")&amp;" "&amp;$E56)))</f>
        <v>✅ MET</v>
      </c>
      <c r="J56" s="1" t="s">
        <v>1642</v>
      </c>
      <c r="L56" s="117" t="s">
        <v>1643</v>
      </c>
    </row>
    <row r="57" customFormat="false" ht="15.75" hidden="false" customHeight="true" outlineLevel="0" collapsed="false">
      <c r="A57" s="1" t="s">
        <v>1495</v>
      </c>
      <c r="B57" s="1" t="s">
        <v>1644</v>
      </c>
      <c r="C57" s="1" t="s">
        <v>1222</v>
      </c>
      <c r="D57" s="67" t="n">
        <f aca="false">'Camp Drinks'!B19</f>
        <v>96</v>
      </c>
      <c r="E57" s="1" t="s">
        <v>1544</v>
      </c>
      <c r="F57" s="61" t="n">
        <f aca="false">'Camp Drinks'!H19</f>
        <v>85.96</v>
      </c>
      <c r="G57" s="130" t="s">
        <v>1545</v>
      </c>
      <c r="H57" s="122" t="n">
        <v>90</v>
      </c>
      <c r="I57" s="122" t="str">
        <f aca="false">IF(AND($H57="",$J57=""),"· not ordered",IF($H57="","⚠ REVIEW",IF(N($H57)&gt;=N($D57),"✅ MET","⚠ SHORT "&amp;TEXT(N($D57)-N($H57),"0")&amp;" "&amp;$E57)))</f>
        <v>⚠ SHORT 6 cans</v>
      </c>
      <c r="J57" s="1" t="s">
        <v>1645</v>
      </c>
      <c r="K57" s="1" t="s">
        <v>1646</v>
      </c>
      <c r="L57" s="1" t="s">
        <v>1647</v>
      </c>
    </row>
    <row r="58" customFormat="false" ht="15.75" hidden="false" customHeight="true" outlineLevel="0" collapsed="false">
      <c r="A58" s="37" t="s">
        <v>1495</v>
      </c>
      <c r="B58" s="124" t="s">
        <v>341</v>
      </c>
      <c r="C58" s="37" t="s">
        <v>1222</v>
      </c>
      <c r="D58" s="125" t="n">
        <f aca="false">'Camp Drinks'!E27</f>
        <v>4</v>
      </c>
      <c r="E58" s="37" t="s">
        <v>343</v>
      </c>
      <c r="F58" s="75" t="n">
        <f aca="false">'Camp Drinks'!H27</f>
        <v>15.16</v>
      </c>
      <c r="G58" s="126" t="s">
        <v>1554</v>
      </c>
      <c r="H58" s="127" t="n">
        <v>4</v>
      </c>
      <c r="I58" s="122" t="str">
        <f aca="false">IF(AND($H58="",$J58=""),"· not ordered",IF($H58="","⚠ REVIEW",IF(N($H58)&gt;=N($D58),"✅ MET","⚠ SHORT "&amp;TEXT(N($D58)-N($H58),"0")&amp;" "&amp;$E58)))</f>
        <v>✅ MET</v>
      </c>
      <c r="K58" s="1" t="s">
        <v>1648</v>
      </c>
      <c r="L58" s="1" t="s">
        <v>1649</v>
      </c>
    </row>
    <row r="59" customFormat="false" ht="15" hidden="false" customHeight="true" outlineLevel="0" collapsed="false">
      <c r="A59" s="131" t="s">
        <v>1495</v>
      </c>
      <c r="B59" s="132" t="s">
        <v>1650</v>
      </c>
      <c r="C59" s="37" t="s">
        <v>1212</v>
      </c>
      <c r="D59" s="125" t="n">
        <f aca="false">'Jug Recipes'!D32</f>
        <v>1</v>
      </c>
      <c r="E59" s="37" t="s">
        <v>343</v>
      </c>
      <c r="F59" s="133" t="n">
        <f aca="false">'Jug Recipes'!F32</f>
        <v>4.29</v>
      </c>
      <c r="G59" s="126" t="s">
        <v>1545</v>
      </c>
      <c r="H59" s="122" t="n">
        <v>2</v>
      </c>
      <c r="I59" s="122" t="str">
        <f aca="false">IF(AND($H59="",$J59=""),"· not ordered",IF($H59="","⚠ REVIEW",IF(N($H59)&gt;=N($D59),"✅ MET","⚠ SHORT "&amp;TEXT(N($D59)-N($H59),"0")&amp;" "&amp;$E59)))</f>
        <v>✅ MET</v>
      </c>
      <c r="J59" s="1" t="s">
        <v>1651</v>
      </c>
      <c r="K59" s="1" t="s">
        <v>1652</v>
      </c>
      <c r="L59" s="117" t="s">
        <v>1653</v>
      </c>
    </row>
    <row r="60" customFormat="false" ht="15.75" hidden="false" customHeight="true" outlineLevel="0" collapsed="false">
      <c r="A60" s="131" t="s">
        <v>1495</v>
      </c>
      <c r="B60" s="132" t="s">
        <v>1654</v>
      </c>
      <c r="C60" s="37" t="s">
        <v>1222</v>
      </c>
      <c r="D60" s="125" t="n">
        <f aca="false">'Camp Drinks'!B21</f>
        <v>24</v>
      </c>
      <c r="E60" s="37" t="s">
        <v>1544</v>
      </c>
      <c r="F60" s="133" t="n">
        <f aca="false">'Camp Drinks'!H21</f>
        <v>10.9714285714286</v>
      </c>
      <c r="G60" s="126" t="s">
        <v>1545</v>
      </c>
      <c r="H60" s="122"/>
      <c r="I60" s="122" t="str">
        <f aca="false">IF(AND($H60="",$J60=""),"· not ordered",IF($H60="","⚠ REVIEW",IF(N($H60)&gt;=N($D60),"✅ MET","⚠ SHORT "&amp;TEXT(N($D60)-N($H60),"0")&amp;" "&amp;$E60)))</f>
        <v>· not ordered</v>
      </c>
      <c r="L60" s="1" t="s">
        <v>1655</v>
      </c>
    </row>
    <row r="61" customFormat="false" ht="15.75" hidden="false" customHeight="true" outlineLevel="0" collapsed="false">
      <c r="A61" s="131" t="s">
        <v>1495</v>
      </c>
      <c r="B61" s="132" t="s">
        <v>1656</v>
      </c>
      <c r="C61" s="37" t="s">
        <v>1210</v>
      </c>
      <c r="D61" s="125" t="n">
        <v>3</v>
      </c>
      <c r="E61" s="37" t="s">
        <v>1497</v>
      </c>
      <c r="F61" s="133" t="n">
        <f aca="false">D61*17.5</f>
        <v>52.5</v>
      </c>
      <c r="G61" s="126" t="s">
        <v>1657</v>
      </c>
      <c r="H61" s="122" t="n">
        <v>1</v>
      </c>
      <c r="I61" s="122" t="str">
        <f aca="false">IF(AND($H61="",$J61=""),"· not ordered",IF($H61="","⚠ REVIEW",IF(N($H61)&gt;=N($D61),"✅ MET","⚠ SHORT "&amp;TEXT(N($D61)-N($H61),"0")&amp;" "&amp;$E61)))</f>
        <v>⚠ SHORT 2 each</v>
      </c>
      <c r="J61" s="1" t="s">
        <v>1658</v>
      </c>
      <c r="L61" s="117" t="s">
        <v>1659</v>
      </c>
    </row>
    <row r="62" customFormat="false" ht="15.75" hidden="false" customHeight="true" outlineLevel="0" collapsed="false">
      <c r="A62" s="131" t="s">
        <v>1495</v>
      </c>
      <c r="B62" s="132" t="s">
        <v>1660</v>
      </c>
      <c r="C62" s="37" t="s">
        <v>1205</v>
      </c>
      <c r="D62" s="125" t="n">
        <f aca="false">'Beverage Lines'!C9</f>
        <v>47</v>
      </c>
      <c r="E62" s="37" t="s">
        <v>1661</v>
      </c>
      <c r="F62" s="133" t="n">
        <f aca="false">ROUND(D62*0.6,0)</f>
        <v>28</v>
      </c>
      <c r="G62" s="126" t="s">
        <v>1662</v>
      </c>
      <c r="H62" s="122"/>
      <c r="I62" s="122" t="str">
        <f aca="false">IF(AND($H62="",$J62=""),"· not ordered",IF($H62="","⚠ REVIEW",IF(N($H62)&gt;=N($D62),"✅ MET","⚠ SHORT "&amp;TEXT(N($D62)-N($H62),"0")&amp;" "&amp;$E62)))</f>
        <v>· not ordered</v>
      </c>
      <c r="L62" s="117"/>
    </row>
    <row r="63" customFormat="false" ht="15.75" hidden="false" customHeight="true" outlineLevel="0" collapsed="false">
      <c r="A63" s="131"/>
      <c r="B63" s="132"/>
      <c r="C63" s="37"/>
      <c r="D63" s="125"/>
      <c r="E63" s="37"/>
      <c r="F63" s="133"/>
      <c r="G63" s="126"/>
      <c r="H63" s="122"/>
      <c r="I63" s="122"/>
    </row>
    <row r="64" customFormat="false" ht="15.75" hidden="false" customHeight="true" outlineLevel="0" collapsed="false">
      <c r="A64" s="116" t="s">
        <v>1495</v>
      </c>
      <c r="B64" s="14" t="s">
        <v>1663</v>
      </c>
      <c r="C64" s="116" t="s">
        <v>1202</v>
      </c>
      <c r="D64" s="102" t="n">
        <f aca="false">'Packaged Sizing'!B42</f>
        <v>14</v>
      </c>
      <c r="E64" s="116" t="s">
        <v>1664</v>
      </c>
      <c r="F64" s="85" t="n">
        <f aca="false">'Packaged Sizing'!D42</f>
        <v>181.86</v>
      </c>
      <c r="G64" s="118" t="s">
        <v>1665</v>
      </c>
      <c r="H64" s="119"/>
      <c r="I64" s="122" t="str">
        <f aca="false">IF(AND($H64="",$J64=""),"· not ordered",IF($H64="","⚠ REVIEW",IF(N($H64)&gt;=N($D64),"✅ MET","⚠ SHORT "&amp;TEXT(N($D64)-N($H64),"0")&amp;" "&amp;$E64)))</f>
        <v>⚠ REVIEW</v>
      </c>
      <c r="J64" s="1" t="s">
        <v>1666</v>
      </c>
      <c r="L64" s="117" t="s">
        <v>1667</v>
      </c>
    </row>
    <row r="65" customFormat="false" ht="15.75" hidden="false" customHeight="true" outlineLevel="0" collapsed="false">
      <c r="A65" s="116" t="s">
        <v>1495</v>
      </c>
      <c r="B65" s="14" t="s">
        <v>1668</v>
      </c>
      <c r="C65" s="116" t="s">
        <v>1202</v>
      </c>
      <c r="D65" s="102" t="n">
        <f aca="false">'Packaged Sizing'!B44</f>
        <v>7</v>
      </c>
      <c r="E65" s="116" t="s">
        <v>1664</v>
      </c>
      <c r="F65" s="85" t="n">
        <f aca="false">'Packaged Sizing'!D44</f>
        <v>73.43</v>
      </c>
      <c r="G65" s="118" t="s">
        <v>1573</v>
      </c>
      <c r="H65" s="122" t="n">
        <v>8</v>
      </c>
      <c r="I65" s="122" t="str">
        <f aca="false">IF(AND($H65="",$J65=""),"· not ordered",IF($H65="","⚠ REVIEW",IF(N($H65)&gt;=N($D65),"✅ MET","⚠ SHORT "&amp;TEXT(N($D65)-N($H65),"0")&amp;" "&amp;$E65)))</f>
        <v>✅ MET</v>
      </c>
      <c r="J65" s="1" t="s">
        <v>1669</v>
      </c>
      <c r="L65" s="117" t="s">
        <v>1670</v>
      </c>
    </row>
    <row r="66" customFormat="false" ht="15.75" hidden="false" customHeight="true" outlineLevel="0" collapsed="false">
      <c r="A66" s="1" t="s">
        <v>1495</v>
      </c>
      <c r="B66" s="23" t="s">
        <v>1671</v>
      </c>
      <c r="C66" s="1" t="s">
        <v>1188</v>
      </c>
      <c r="D66" s="29" t="n">
        <f aca="false">'Other Consumables'!D20</f>
        <v>77</v>
      </c>
      <c r="E66" s="1" t="s">
        <v>1672</v>
      </c>
      <c r="F66" s="69" t="n">
        <f aca="false">D66*Assumptions!$B$236</f>
        <v>103.95</v>
      </c>
      <c r="G66" s="1" t="s">
        <v>1673</v>
      </c>
      <c r="H66" s="119"/>
      <c r="I66" s="122" t="str">
        <f aca="false">IF(AND($H66="",$J66=""),"· not ordered",IF($H66="","⚠ REVIEW",IF(N($H66)&gt;=N($D66),"✅ MET","⚠ SHORT "&amp;TEXT(N($D66)-N($H66),"0")&amp;" "&amp;$E66)))</f>
        <v>· not ordered</v>
      </c>
      <c r="L66" s="117" t="s">
        <v>1674</v>
      </c>
    </row>
    <row r="67" customFormat="false" ht="15.75" hidden="false" customHeight="true" outlineLevel="0" collapsed="false">
      <c r="A67" s="1" t="s">
        <v>1495</v>
      </c>
      <c r="B67" s="23" t="s">
        <v>1675</v>
      </c>
      <c r="C67" s="1" t="s">
        <v>1202</v>
      </c>
      <c r="D67" s="29" t="n">
        <f aca="false">'Packaged Sizing'!B41</f>
        <v>5</v>
      </c>
      <c r="E67" s="1" t="s">
        <v>1676</v>
      </c>
      <c r="F67" s="69" t="n">
        <f aca="false">'Packaged Sizing'!D41</f>
        <v>59.95</v>
      </c>
      <c r="G67" s="1" t="s">
        <v>1545</v>
      </c>
      <c r="H67" s="119" t="n">
        <v>5</v>
      </c>
      <c r="I67" s="122" t="str">
        <f aca="false">IF(AND($H67="",$J67=""),"· not ordered",IF($H67="","⚠ REVIEW",IF(N($H67)&gt;=N($D67),"✅ MET","⚠ SHORT "&amp;TEXT(N($D67)-N($H67),"0")&amp;" "&amp;$E67)))</f>
        <v>✅ MET</v>
      </c>
      <c r="J67" s="1" t="s">
        <v>1677</v>
      </c>
      <c r="K67" s="1" t="s">
        <v>1678</v>
      </c>
      <c r="L67" s="117" t="s">
        <v>1679</v>
      </c>
    </row>
    <row r="68" customFormat="false" ht="15.75" hidden="false" customHeight="true" outlineLevel="0" collapsed="false">
      <c r="A68" s="1" t="s">
        <v>1495</v>
      </c>
      <c r="B68" s="23" t="s">
        <v>1680</v>
      </c>
      <c r="C68" s="1" t="s">
        <v>1196</v>
      </c>
      <c r="D68" s="29" t="n">
        <f aca="false">'Other Consumables'!D36</f>
        <v>13</v>
      </c>
      <c r="E68" s="1" t="s">
        <v>1544</v>
      </c>
      <c r="F68" s="69" t="n">
        <f aca="false">D68*Assumptions!$B$97</f>
        <v>22.1</v>
      </c>
      <c r="G68" s="1" t="s">
        <v>1554</v>
      </c>
      <c r="H68" s="119"/>
      <c r="I68" s="122" t="str">
        <f aca="false">IF(AND($H68="",$J68=""),"· not ordered",IF($H68="","⚠ REVIEW",IF(N($H68)&gt;=N($D68),"✅ MET","⚠ SHORT "&amp;TEXT(N($D68)-N($H68),"0")&amp;" "&amp;$E68)))</f>
        <v>· not ordered</v>
      </c>
      <c r="L68" s="117" t="s">
        <v>1681</v>
      </c>
    </row>
    <row r="69" customFormat="false" ht="15.75" hidden="false" customHeight="true" outlineLevel="0" collapsed="false">
      <c r="A69" s="1" t="s">
        <v>1495</v>
      </c>
      <c r="B69" s="23" t="s">
        <v>1682</v>
      </c>
      <c r="C69" s="1" t="s">
        <v>1196</v>
      </c>
      <c r="D69" s="29" t="n">
        <f aca="false">'Other Consumables'!D21</f>
        <v>2</v>
      </c>
      <c r="E69" s="1" t="s">
        <v>343</v>
      </c>
      <c r="F69" s="69" t="n">
        <f aca="false">D69*Assumptions!$B$90</f>
        <v>9.6</v>
      </c>
      <c r="G69" s="1" t="s">
        <v>1554</v>
      </c>
      <c r="H69" s="119"/>
      <c r="I69" s="122" t="str">
        <f aca="false">IF(AND($H69="",$J69=""),"· not ordered",IF($H69="","⚠ REVIEW",IF(N($H69)&gt;=N($D69),"✅ MET","⚠ SHORT "&amp;TEXT(N($D69)-N($H69),"0")&amp;" "&amp;$E69)))</f>
        <v>· not ordered</v>
      </c>
      <c r="L69" s="117" t="s">
        <v>1683</v>
      </c>
    </row>
    <row r="70" customFormat="false" ht="15.75" hidden="false" customHeight="true" outlineLevel="0" collapsed="false">
      <c r="A70" s="1" t="s">
        <v>1495</v>
      </c>
      <c r="B70" s="23" t="s">
        <v>1684</v>
      </c>
      <c r="C70" s="1" t="s">
        <v>1218</v>
      </c>
      <c r="D70" s="29" t="n">
        <v>4</v>
      </c>
      <c r="E70" s="1" t="s">
        <v>1685</v>
      </c>
      <c r="F70" s="69" t="n">
        <v>20</v>
      </c>
      <c r="G70" s="1" t="s">
        <v>1554</v>
      </c>
      <c r="H70" s="119"/>
      <c r="I70" s="122" t="str">
        <f aca="false">IF(AND($H70="",$J70=""),"· not ordered",IF($H70="","⚠ REVIEW",IF(N($H70)&gt;=N($D70),"✅ MET","⚠ SHORT "&amp;TEXT(N($D70)-N($H70),"0")&amp;" "&amp;$E70)))</f>
        <v>· not ordered</v>
      </c>
      <c r="L70" s="117" t="s">
        <v>1686</v>
      </c>
    </row>
    <row r="71" customFormat="false" ht="15.75" hidden="false" customHeight="true" outlineLevel="0" collapsed="false">
      <c r="A71" s="116" t="s">
        <v>1495</v>
      </c>
      <c r="B71" s="14" t="s">
        <v>1687</v>
      </c>
      <c r="C71" s="116" t="s">
        <v>1218</v>
      </c>
      <c r="D71" s="102" t="n">
        <v>2</v>
      </c>
      <c r="E71" s="116" t="s">
        <v>1685</v>
      </c>
      <c r="F71" s="85" t="n">
        <v>8</v>
      </c>
      <c r="G71" s="118" t="s">
        <v>1554</v>
      </c>
      <c r="H71" s="122"/>
      <c r="I71" s="122" t="str">
        <f aca="false">IF(AND($H71="",$J71=""),"· not ordered",IF($H71="","⚠ REVIEW",IF(N($H71)&gt;=N($D71),"✅ MET","⚠ SHORT "&amp;TEXT(N($D71)-N($H71),"0")&amp;" "&amp;$E71)))</f>
        <v>· not ordered</v>
      </c>
      <c r="L71" s="1" t="s">
        <v>1688</v>
      </c>
    </row>
    <row r="72" customFormat="false" ht="15.75" hidden="false" customHeight="true" outlineLevel="0" collapsed="false">
      <c r="A72" s="116" t="s">
        <v>1495</v>
      </c>
      <c r="B72" s="14" t="s">
        <v>1689</v>
      </c>
      <c r="C72" s="116" t="s">
        <v>1218</v>
      </c>
      <c r="D72" s="102" t="n">
        <f aca="false">'Other Consumables'!D50</f>
        <v>1</v>
      </c>
      <c r="E72" s="116" t="s">
        <v>1690</v>
      </c>
      <c r="F72" s="85" t="n">
        <f aca="false">D72*Assumptions!$B$212</f>
        <v>7.5</v>
      </c>
      <c r="G72" s="118" t="s">
        <v>1554</v>
      </c>
      <c r="H72" s="122"/>
      <c r="I72" s="122" t="str">
        <f aca="false">IF(AND($H72="",$J72=""),"· not ordered",IF($H72="","⚠ REVIEW",IF(N($H72)&gt;=N($D72),"✅ MET","⚠ SHORT "&amp;TEXT(N($D72)-N($H72),"0")&amp;" "&amp;$E72)))</f>
        <v>· not ordered</v>
      </c>
      <c r="L72" s="117" t="s">
        <v>1691</v>
      </c>
    </row>
    <row r="73" customFormat="false" ht="15.75" hidden="false" customHeight="true" outlineLevel="0" collapsed="false">
      <c r="A73" s="131" t="s">
        <v>1495</v>
      </c>
      <c r="B73" s="132" t="s">
        <v>1692</v>
      </c>
      <c r="C73" s="37" t="s">
        <v>1196</v>
      </c>
      <c r="D73" s="125" t="n">
        <f aca="false">'Other Consumables'!D37</f>
        <v>0</v>
      </c>
      <c r="E73" s="37" t="s">
        <v>1497</v>
      </c>
      <c r="F73" s="133" t="n">
        <f aca="false">D73*Assumptions!$B$100</f>
        <v>0</v>
      </c>
      <c r="G73" s="126" t="s">
        <v>1554</v>
      </c>
      <c r="H73" s="122"/>
      <c r="I73" s="122" t="str">
        <f aca="false">IF(AND($H73="",$J73=""),"· not ordered",IF($H73="","⚠ REVIEW",IF(N($H73)&gt;=N($D73),"✅ MET","⚠ SHORT "&amp;TEXT(N($D73)-N($H73),"0")&amp;" "&amp;$E73)))</f>
        <v>⚠ REVIEW</v>
      </c>
      <c r="J73" s="1" t="s">
        <v>1693</v>
      </c>
      <c r="L73" s="117" t="s">
        <v>1694</v>
      </c>
    </row>
    <row r="74" customFormat="false" ht="15.75" hidden="false" customHeight="true" outlineLevel="0" collapsed="false">
      <c r="A74" s="116" t="s">
        <v>1495</v>
      </c>
      <c r="B74" s="14" t="s">
        <v>1695</v>
      </c>
      <c r="C74" s="116" t="s">
        <v>1218</v>
      </c>
      <c r="D74" s="102" t="n">
        <v>2</v>
      </c>
      <c r="E74" s="116" t="s">
        <v>1685</v>
      </c>
      <c r="F74" s="85" t="n">
        <v>8</v>
      </c>
      <c r="G74" s="118" t="s">
        <v>1554</v>
      </c>
      <c r="H74" s="119"/>
      <c r="I74" s="122" t="str">
        <f aca="false">IF(AND($H74="",$J74=""),"· not ordered",IF($H74="","⚠ REVIEW",IF(N($H74)&gt;=N($D74),"✅ MET","⚠ SHORT "&amp;TEXT(N($D74)-N($H74),"0")&amp;" "&amp;$E74)))</f>
        <v>· not ordered</v>
      </c>
      <c r="L74" s="117" t="s">
        <v>1696</v>
      </c>
    </row>
    <row r="75" customFormat="false" ht="15.75" hidden="false" customHeight="true" outlineLevel="0" collapsed="false">
      <c r="A75" s="116" t="s">
        <v>1495</v>
      </c>
      <c r="B75" s="82" t="s">
        <v>1697</v>
      </c>
      <c r="C75" s="82" t="s">
        <v>1225</v>
      </c>
      <c r="D75" s="128" t="n">
        <v>1</v>
      </c>
      <c r="E75" s="82" t="s">
        <v>1508</v>
      </c>
      <c r="F75" s="88" t="n">
        <f aca="false">'Bar Add-Ons'!E18</f>
        <v>315.78</v>
      </c>
      <c r="G75" s="129" t="s">
        <v>1554</v>
      </c>
      <c r="H75" s="119"/>
      <c r="I75" s="122" t="str">
        <f aca="false">IF(AND($H75="",$J75=""),"· not ordered",IF($H75="","⚠ REVIEW",IF(N($H75)&gt;=N($D75),"✅ MET","⚠ SHORT "&amp;TEXT(N($D75)-N($H75),"0")&amp;" "&amp;$E75)))</f>
        <v>⚠ REVIEW</v>
      </c>
      <c r="J75" s="1" t="s">
        <v>1698</v>
      </c>
      <c r="K75" s="117" t="s">
        <v>1699</v>
      </c>
      <c r="L75" s="117" t="s">
        <v>1700</v>
      </c>
    </row>
    <row r="76" customFormat="false" ht="15" hidden="false" customHeight="true" outlineLevel="0" collapsed="false">
      <c r="A76" s="116" t="s">
        <v>1495</v>
      </c>
      <c r="B76" s="14" t="s">
        <v>1701</v>
      </c>
      <c r="C76" s="116" t="s">
        <v>1222</v>
      </c>
      <c r="D76" s="102" t="n">
        <f aca="false">'Camp Drinks'!E11</f>
        <v>4</v>
      </c>
      <c r="E76" s="116" t="s">
        <v>318</v>
      </c>
      <c r="F76" s="85" t="n">
        <f aca="false">'Camp Drinks'!H11</f>
        <v>26</v>
      </c>
      <c r="G76" s="118" t="s">
        <v>1554</v>
      </c>
      <c r="H76" s="122"/>
      <c r="I76" s="122" t="str">
        <f aca="false">IF(AND($H76="",$J76=""),"· not ordered",IF($H76="","⚠ REVIEW",IF(N($H76)&gt;=N($D76),"✅ MET","⚠ SHORT "&amp;TEXT(N($D76)-N($H76),"0")&amp;" "&amp;$E76)))</f>
        <v>· not ordered</v>
      </c>
      <c r="L76" s="117" t="s">
        <v>1702</v>
      </c>
    </row>
    <row r="77" customFormat="false" ht="15.75" hidden="false" customHeight="true" outlineLevel="0" collapsed="false">
      <c r="A77" s="116" t="s">
        <v>1495</v>
      </c>
      <c r="B77" s="14" t="s">
        <v>1703</v>
      </c>
      <c r="C77" s="37" t="s">
        <v>1222</v>
      </c>
      <c r="D77" s="102" t="n">
        <f aca="false">'Camp Drinks'!B20</f>
        <v>24</v>
      </c>
      <c r="E77" s="116" t="s">
        <v>1544</v>
      </c>
      <c r="F77" s="85" t="n">
        <f aca="false">'Camp Drinks'!H20</f>
        <v>40.8</v>
      </c>
      <c r="G77" s="118" t="s">
        <v>1554</v>
      </c>
      <c r="H77" s="119"/>
      <c r="I77" s="122" t="str">
        <f aca="false">IF(AND($H77="",$J77=""),"· not ordered",IF($H77="","⚠ REVIEW",IF(N($H77)&gt;=N($D77),"✅ MET","⚠ SHORT "&amp;TEXT(N($D77)-N($H77),"0")&amp;" "&amp;$E77)))</f>
        <v>· not ordered</v>
      </c>
      <c r="L77" s="1" t="s">
        <v>1704</v>
      </c>
    </row>
    <row r="78" customFormat="false" ht="15.75" hidden="false" customHeight="true" outlineLevel="0" collapsed="false">
      <c r="A78" s="37" t="s">
        <v>1495</v>
      </c>
      <c r="B78" s="124" t="s">
        <v>1705</v>
      </c>
      <c r="C78" s="37" t="s">
        <v>1199</v>
      </c>
      <c r="D78" s="125" t="n">
        <f aca="false">'Other Consumables'!D51</f>
        <v>4</v>
      </c>
      <c r="E78" s="37" t="s">
        <v>1608</v>
      </c>
      <c r="F78" s="75" t="n">
        <f aca="false">D78*Assumptions!$B$219</f>
        <v>19.96</v>
      </c>
      <c r="G78" s="126" t="s">
        <v>1554</v>
      </c>
      <c r="H78" s="119"/>
      <c r="I78" s="122" t="str">
        <f aca="false">IF(AND($H78="",$J78=""),"· not ordered",IF($H78="","⚠ REVIEW",IF(N($H78)&gt;=N($D78),"✅ MET","⚠ SHORT "&amp;TEXT(N($D78)-N($H78),"0")&amp;" "&amp;$E78)))</f>
        <v>· not ordered</v>
      </c>
      <c r="L78" s="117" t="s">
        <v>1706</v>
      </c>
    </row>
    <row r="79" customFormat="false" ht="15.75" hidden="false" customHeight="true" outlineLevel="0" collapsed="false">
      <c r="A79" s="1" t="s">
        <v>1495</v>
      </c>
      <c r="B79" s="1" t="s">
        <v>1707</v>
      </c>
      <c r="C79" s="1" t="s">
        <v>1188</v>
      </c>
      <c r="D79" s="1" t="n">
        <f aca="false">U79</f>
        <v>28</v>
      </c>
      <c r="E79" s="1" t="s">
        <v>1544</v>
      </c>
      <c r="F79" s="1" t="n">
        <f aca="false">'Base Soda — Cans'!E6*Assumptions!$B$16</f>
        <v>16</v>
      </c>
      <c r="G79" s="130" t="s">
        <v>1083</v>
      </c>
      <c r="H79" s="122"/>
      <c r="I79" s="122" t="str">
        <f aca="false">IF(AND($H79="",$J79=""),"· not ordered",IF($H79="","⚠ REVIEW",IF(N($H79)&gt;=N($D79),"✅ MET","⚠ SHORT "&amp;TEXT(N($D79)-N($H79),"0")&amp;" "&amp;$E79)))</f>
        <v>⚠ REVIEW</v>
      </c>
      <c r="J79" s="117" t="s">
        <v>1708</v>
      </c>
      <c r="K79" s="1" t="s">
        <v>1547</v>
      </c>
      <c r="L79" s="117" t="s">
        <v>1709</v>
      </c>
      <c r="R79" s="67" t="n">
        <f aca="false">'Base Soda — Cans'!B6</f>
        <v>200</v>
      </c>
      <c r="S79" s="67" t="n">
        <f aca="false">'Base Soda — Cans'!C6</f>
        <v>230</v>
      </c>
      <c r="T79" s="1" t="n">
        <f aca="false">MAX('Base Soda — Cans'!C6-'Base Soda — Cans'!H6,0)</f>
        <v>230</v>
      </c>
      <c r="U79" s="1" t="n">
        <f aca="false">CEILING(T79/(Assumptions!$B$7*Assumptions!$B$157),1)</f>
        <v>28</v>
      </c>
      <c r="V79" s="1" t="n">
        <f aca="false">CEILING(T79/(Assumptions!$B$165*Assumptions!$B$238),1)</f>
        <v>4</v>
      </c>
    </row>
    <row r="80" customFormat="false" ht="15.75" hidden="false" customHeight="true" outlineLevel="0" collapsed="false">
      <c r="G80" s="130"/>
      <c r="H80" s="122"/>
      <c r="I80" s="122"/>
      <c r="L80" s="117"/>
    </row>
    <row r="81" customFormat="false" ht="15.75" hidden="false" customHeight="true" outlineLevel="0" collapsed="false">
      <c r="A81" s="1" t="s">
        <v>1495</v>
      </c>
      <c r="B81" s="1" t="s">
        <v>1710</v>
      </c>
      <c r="C81" s="1" t="s">
        <v>1188</v>
      </c>
      <c r="D81" s="1" t="n">
        <f aca="false">'Base Soda — Cans'!G14</f>
        <v>2</v>
      </c>
      <c r="E81" s="1" t="s">
        <v>1086</v>
      </c>
      <c r="F81" s="1" t="n">
        <f aca="false">D81*Assumptions!$B$166</f>
        <v>5.56</v>
      </c>
      <c r="G81" s="130" t="s">
        <v>1554</v>
      </c>
      <c r="H81" s="122"/>
      <c r="I81" s="122" t="str">
        <f aca="false">IF(AND($H81="",$J81=""),"· not ordered",IF($H81="","⚠ REVIEW",IF(N($H81)&gt;=N($D81),"✅ MET","⚠ SHORT "&amp;TEXT(N($D81)-N($H81),"0")&amp;" "&amp;$E81)))</f>
        <v>· not ordered</v>
      </c>
      <c r="L81" s="117" t="s">
        <v>1711</v>
      </c>
    </row>
    <row r="82" customFormat="false" ht="15.75" hidden="false" customHeight="true" outlineLevel="0" collapsed="false">
      <c r="A82" s="1" t="s">
        <v>1495</v>
      </c>
      <c r="B82" s="1" t="s">
        <v>1712</v>
      </c>
      <c r="C82" s="1" t="s">
        <v>1225</v>
      </c>
      <c r="D82" s="67" t="n">
        <v>2</v>
      </c>
      <c r="E82" s="1" t="s">
        <v>1713</v>
      </c>
      <c r="F82" s="1" t="n">
        <f aca="false">D82*5</f>
        <v>10</v>
      </c>
      <c r="G82" s="130" t="s">
        <v>1714</v>
      </c>
      <c r="H82" s="122"/>
      <c r="I82" s="122" t="str">
        <f aca="false">IF(AND($H82="",$J82=""),"· not ordered",IF($H82="","⚠ REVIEW",IF(N($H82)&gt;=N($D82),"✅ MET","⚠ SHORT "&amp;TEXT(N($D82)-N($H82),"0")&amp;" "&amp;$E82)))</f>
        <v>· not ordered</v>
      </c>
      <c r="L82" s="117" t="s">
        <v>1715</v>
      </c>
    </row>
    <row r="83" customFormat="false" ht="15.75" hidden="false" customHeight="true" outlineLevel="0" collapsed="false">
      <c r="A83" s="37" t="s">
        <v>1495</v>
      </c>
      <c r="B83" s="124" t="s">
        <v>1716</v>
      </c>
      <c r="C83" s="37" t="s">
        <v>1196</v>
      </c>
      <c r="D83" s="125" t="n">
        <v>2</v>
      </c>
      <c r="E83" s="37" t="s">
        <v>343</v>
      </c>
      <c r="F83" s="75" t="n">
        <f aca="false">D83*4</f>
        <v>8</v>
      </c>
      <c r="G83" s="126" t="s">
        <v>1554</v>
      </c>
      <c r="H83" s="119"/>
      <c r="I83" s="122" t="str">
        <f aca="false">IF(AND($H83="",$J83=""),"· not ordered",IF($H83="","⚠ REVIEW",IF(N($H83)&gt;=N($D83),"✅ MET","⚠ SHORT "&amp;TEXT(N($D83)-N($H83),"0")&amp;" "&amp;$E83)))</f>
        <v>· not ordered</v>
      </c>
      <c r="L83" s="117" t="s">
        <v>1717</v>
      </c>
    </row>
    <row r="84" customFormat="false" ht="15.75" hidden="false" customHeight="true" outlineLevel="0" collapsed="false">
      <c r="A84" s="131" t="s">
        <v>1495</v>
      </c>
      <c r="B84" s="132" t="s">
        <v>1718</v>
      </c>
      <c r="C84" s="37" t="s">
        <v>1188</v>
      </c>
      <c r="D84" s="125" t="n">
        <v>12</v>
      </c>
      <c r="E84" s="37" t="s">
        <v>1719</v>
      </c>
      <c r="F84" s="133" t="n">
        <v>56</v>
      </c>
      <c r="G84" s="126" t="s">
        <v>1528</v>
      </c>
      <c r="H84" s="122" t="n">
        <v>12</v>
      </c>
      <c r="I84" s="122" t="str">
        <f aca="false">IF(AND($H84="",$J84=""),"· not ordered",IF($H84="","⚠ REVIEW",IF(N($H84)&gt;=N($D84),"✅ MET","⚠ SHORT "&amp;TEXT(N($D84)-N($H84),"0")&amp;" "&amp;$E84)))</f>
        <v>✅ MET</v>
      </c>
      <c r="J84" s="1" t="s">
        <v>1720</v>
      </c>
      <c r="L84" s="117" t="s">
        <v>1721</v>
      </c>
    </row>
    <row r="85" customFormat="false" ht="15.75" hidden="false" customHeight="true" outlineLevel="0" collapsed="false">
      <c r="A85" s="131" t="s">
        <v>1495</v>
      </c>
      <c r="B85" s="132" t="s">
        <v>1722</v>
      </c>
      <c r="C85" s="37" t="s">
        <v>1191</v>
      </c>
      <c r="D85" s="125" t="n">
        <f aca="false">'Other Consumables'!$D$12</f>
        <v>22</v>
      </c>
      <c r="E85" s="37" t="s">
        <v>343</v>
      </c>
      <c r="F85" s="133" t="n">
        <f aca="false">D85*Assumptions!$B$19</f>
        <v>176</v>
      </c>
      <c r="G85" s="126" t="s">
        <v>1723</v>
      </c>
      <c r="H85" s="122" t="n">
        <v>27</v>
      </c>
      <c r="I85" s="122" t="str">
        <f aca="false">IF(AND($H85="",$J85=""),"· not ordered",IF($H85="","⚠ REVIEW",IF(N($H85)&gt;=N($D85),"✅ MET","⚠ SHORT "&amp;TEXT(N($D85)-N($H85),"0")&amp;" "&amp;$E85)))</f>
        <v>✅ MET</v>
      </c>
      <c r="J85" s="1" t="s">
        <v>1724</v>
      </c>
      <c r="K85" s="117"/>
      <c r="L85" s="117" t="s">
        <v>1725</v>
      </c>
    </row>
    <row r="86" customFormat="false" ht="15.75" hidden="false" customHeight="true" outlineLevel="0" collapsed="false">
      <c r="A86" s="1" t="s">
        <v>1495</v>
      </c>
      <c r="B86" s="23" t="s">
        <v>1726</v>
      </c>
      <c r="C86" s="1" t="s">
        <v>1194</v>
      </c>
      <c r="D86" s="29" t="n">
        <f aca="false">'Other Consumables'!D16</f>
        <v>10</v>
      </c>
      <c r="E86" s="1" t="s">
        <v>343</v>
      </c>
      <c r="F86" s="69" t="n">
        <f aca="false">D86*Assumptions!$B$20</f>
        <v>39.8</v>
      </c>
      <c r="G86" s="1" t="s">
        <v>1528</v>
      </c>
      <c r="H86" s="119" t="n">
        <v>10</v>
      </c>
      <c r="I86" s="122" t="str">
        <f aca="false">IF(AND($H86="",$J86=""),"· not ordered",IF($H86="","⚠ REVIEW",IF(N($H86)&gt;=N($D86),"✅ MET","⚠ SHORT "&amp;TEXT(N($D86)-N($H86),"0")&amp;" "&amp;$E86)))</f>
        <v>✅ MET</v>
      </c>
      <c r="J86" s="1" t="s">
        <v>1727</v>
      </c>
      <c r="L86" s="117"/>
    </row>
    <row r="87" customFormat="false" ht="15.75" hidden="false" customHeight="true" outlineLevel="0" collapsed="false">
      <c r="A87" s="1" t="s">
        <v>1495</v>
      </c>
      <c r="B87" s="23" t="s">
        <v>1728</v>
      </c>
      <c r="C87" s="1" t="s">
        <v>1196</v>
      </c>
      <c r="D87" s="29" t="n">
        <f aca="false">Assumptions!$B$63</f>
        <v>2</v>
      </c>
      <c r="E87" s="1" t="s">
        <v>343</v>
      </c>
      <c r="F87" s="69" t="n">
        <f aca="false">D87*Assumptions!$B$62</f>
        <v>18</v>
      </c>
      <c r="G87" s="1" t="s">
        <v>1528</v>
      </c>
      <c r="H87" s="119" t="n">
        <v>2</v>
      </c>
      <c r="I87" s="122" t="str">
        <f aca="false">IF(AND($H87="",$J87=""),"· not ordered",IF($H87="","⚠ REVIEW",IF(N($H87)&gt;=N($D87),"✅ MET","⚠ SHORT "&amp;TEXT(N($D87)-N($H87),"0")&amp;" "&amp;$E87)))</f>
        <v>✅ MET</v>
      </c>
      <c r="J87" s="1" t="s">
        <v>1729</v>
      </c>
      <c r="L87" s="117" t="s">
        <v>1730</v>
      </c>
    </row>
    <row r="88" customFormat="false" ht="15.75" hidden="false" customHeight="true" outlineLevel="0" collapsed="false">
      <c r="A88" s="1" t="s">
        <v>1495</v>
      </c>
      <c r="B88" s="23" t="s">
        <v>1731</v>
      </c>
      <c r="C88" s="1" t="s">
        <v>1212</v>
      </c>
      <c r="D88" s="29" t="n">
        <v>1</v>
      </c>
      <c r="E88" s="1" t="s">
        <v>343</v>
      </c>
      <c r="F88" s="69" t="n">
        <f aca="false">D88*13.49</f>
        <v>13.49</v>
      </c>
      <c r="G88" s="1" t="s">
        <v>1528</v>
      </c>
      <c r="H88" s="119" t="n">
        <v>1</v>
      </c>
      <c r="I88" s="122" t="str">
        <f aca="false">IF(AND($H88="",$J88=""),"· not ordered",IF($H88="","⚠ REVIEW",IF(N($H88)&gt;=N($D88),"✅ MET","⚠ SHORT "&amp;TEXT(N($D88)-N($H88),"0")&amp;" "&amp;$E88)))</f>
        <v>✅ MET</v>
      </c>
      <c r="J88" s="1" t="s">
        <v>1732</v>
      </c>
      <c r="L88" s="117" t="s">
        <v>1733</v>
      </c>
    </row>
    <row r="89" customFormat="false" ht="15" hidden="false" customHeight="true" outlineLevel="0" collapsed="false">
      <c r="A89" s="116" t="s">
        <v>1495</v>
      </c>
      <c r="B89" s="14" t="s">
        <v>1734</v>
      </c>
      <c r="C89" s="117" t="s">
        <v>1212</v>
      </c>
      <c r="D89" s="102" t="n">
        <f aca="false">'Jug Recipes'!D26</f>
        <v>1</v>
      </c>
      <c r="E89" s="116" t="s">
        <v>1735</v>
      </c>
      <c r="F89" s="85" t="n">
        <f aca="false">'Jug Recipes'!F26</f>
        <v>16</v>
      </c>
      <c r="G89" s="118" t="s">
        <v>1528</v>
      </c>
      <c r="H89" s="119"/>
      <c r="I89" s="120" t="str">
        <f aca="false">IF(AND($H89="",$J89=""),"· not ordered",IF($H89="","⚠ REVIEW",IF(N($H89)&gt;=N($D89),"✅ MET","⚠ SHORT "&amp;TEXT(N($D89)-N($H89),"0")&amp;" "&amp;$E89)))</f>
        <v>⚠ REVIEW</v>
      </c>
      <c r="J89" s="121" t="s">
        <v>1736</v>
      </c>
      <c r="L89" s="117" t="s">
        <v>1737</v>
      </c>
      <c r="R89" s="67"/>
      <c r="S89" s="67"/>
    </row>
    <row r="90" customFormat="false" ht="15.75" hidden="false" customHeight="true" outlineLevel="0" collapsed="false">
      <c r="A90" s="131" t="s">
        <v>1495</v>
      </c>
      <c r="B90" s="132" t="s">
        <v>232</v>
      </c>
      <c r="C90" s="1" t="s">
        <v>1212</v>
      </c>
      <c r="D90" s="1" t="n">
        <f aca="false">'Jug Recipes'!D27</f>
        <v>3</v>
      </c>
      <c r="E90" s="1" t="s">
        <v>343</v>
      </c>
      <c r="F90" s="133" t="n">
        <f aca="false">'Jug Recipes'!F27</f>
        <v>12</v>
      </c>
      <c r="G90" s="1" t="s">
        <v>1498</v>
      </c>
      <c r="H90" s="119"/>
      <c r="I90" s="122" t="str">
        <f aca="false">IF(AND($H90="",$J90=""),"· not ordered",IF($H90="","⚠ REVIEW",IF(N($H90)&gt;=N($D90),"✅ MET","⚠ SHORT "&amp;TEXT(N($D90)-N($H90),"0")&amp;" "&amp;$E90)))</f>
        <v>⚠ REVIEW</v>
      </c>
      <c r="J90" s="1" t="s">
        <v>1738</v>
      </c>
      <c r="L90" s="1" t="s">
        <v>1739</v>
      </c>
    </row>
    <row r="91" customFormat="false" ht="15.75" hidden="false" customHeight="true" outlineLevel="0" collapsed="false">
      <c r="A91" s="1" t="s">
        <v>1495</v>
      </c>
      <c r="B91" s="23" t="s">
        <v>1071</v>
      </c>
      <c r="C91" s="1" t="s">
        <v>1212</v>
      </c>
      <c r="D91" s="1" t="n">
        <f aca="false">'Jug Recipes'!D28</f>
        <v>2</v>
      </c>
      <c r="E91" s="1" t="s">
        <v>1690</v>
      </c>
      <c r="F91" s="69" t="n">
        <f aca="false">'Jug Recipes'!F28</f>
        <v>19.98</v>
      </c>
      <c r="G91" s="1" t="s">
        <v>1498</v>
      </c>
      <c r="H91" s="119" t="n">
        <v>2</v>
      </c>
      <c r="I91" s="122" t="str">
        <f aca="false">IF(AND($H91="",$J91=""),"· not ordered",IF($H91="","⚠ REVIEW",IF(N($H91)&gt;=N($D91),"✅ MET","⚠ SHORT "&amp;TEXT(N($D91)-N($H91),"0")&amp;" "&amp;$E91)))</f>
        <v>✅ MET</v>
      </c>
      <c r="J91" s="1" t="s">
        <v>1740</v>
      </c>
      <c r="L91" s="117" t="s">
        <v>1741</v>
      </c>
    </row>
    <row r="92" customFormat="false" ht="15.75" hidden="false" customHeight="true" outlineLevel="0" collapsed="false">
      <c r="A92" s="1" t="s">
        <v>1495</v>
      </c>
      <c r="B92" s="23" t="s">
        <v>1742</v>
      </c>
      <c r="C92" s="1" t="s">
        <v>1222</v>
      </c>
      <c r="D92" s="29" t="n">
        <f aca="false">'Camp Drinks'!E6</f>
        <v>12</v>
      </c>
      <c r="E92" s="1" t="s">
        <v>300</v>
      </c>
      <c r="F92" s="69" t="n">
        <f aca="false">'Camp Drinks'!H6</f>
        <v>144</v>
      </c>
      <c r="G92" s="1" t="s">
        <v>1528</v>
      </c>
      <c r="H92" s="119" t="n">
        <v>14</v>
      </c>
      <c r="I92" s="122" t="str">
        <f aca="false">IF(AND($H92="",$J92=""),"· not ordered",IF($H92="","⚠ REVIEW",IF(N($H92)&gt;=N($D92),"✅ MET","⚠ SHORT "&amp;TEXT(N($D92)-N($H92),"0")&amp;" "&amp;$E92)))</f>
        <v>✅ MET</v>
      </c>
      <c r="J92" s="1" t="s">
        <v>1743</v>
      </c>
      <c r="L92" s="1" t="s">
        <v>1744</v>
      </c>
    </row>
    <row r="93" customFormat="false" ht="15.75" hidden="false" customHeight="true" outlineLevel="0" collapsed="false">
      <c r="A93" s="1" t="s">
        <v>1495</v>
      </c>
      <c r="B93" s="1" t="s">
        <v>1745</v>
      </c>
      <c r="C93" s="1" t="s">
        <v>1222</v>
      </c>
      <c r="D93" s="29" t="n">
        <f aca="false">'Camp Drinks'!E7</f>
        <v>5</v>
      </c>
      <c r="E93" s="1" t="s">
        <v>304</v>
      </c>
      <c r="F93" s="61" t="n">
        <f aca="false">'Camp Drinks'!H7</f>
        <v>74.95</v>
      </c>
      <c r="G93" s="1" t="s">
        <v>1528</v>
      </c>
      <c r="H93" s="1" t="n">
        <v>5</v>
      </c>
      <c r="I93" s="1" t="str">
        <f aca="false">IF(AND($H93="",$J93=""),"· not ordered",IF($H93="","⚠ REVIEW",IF(N($H93)&gt;=N($D93),"✅ MET","⚠ SHORT "&amp;TEXT(N($D93)-N($H93),"0")&amp;" "&amp;$E93)))</f>
        <v>✅ MET</v>
      </c>
      <c r="J93" s="1" t="s">
        <v>1746</v>
      </c>
      <c r="L93" s="1" t="s">
        <v>1747</v>
      </c>
    </row>
    <row r="94" customFormat="false" ht="15.75" hidden="false" customHeight="true" outlineLevel="0" collapsed="false">
      <c r="A94" s="1" t="s">
        <v>1495</v>
      </c>
      <c r="B94" s="1" t="s">
        <v>1748</v>
      </c>
      <c r="C94" s="1" t="s">
        <v>1212</v>
      </c>
      <c r="D94" s="1" t="n">
        <f aca="false">'Jug Recipes'!D30</f>
        <v>1</v>
      </c>
      <c r="E94" s="1" t="s">
        <v>1749</v>
      </c>
      <c r="F94" s="1" t="n">
        <f aca="false">'Jug Recipes'!F30</f>
        <v>11</v>
      </c>
      <c r="G94" s="1" t="s">
        <v>1528</v>
      </c>
      <c r="H94" s="1" t="n">
        <v>1</v>
      </c>
      <c r="I94" s="1" t="str">
        <f aca="false">IF(AND($H94="",$J94=""),"· not ordered",IF($H94="","⚠ REVIEW",IF(N($H94)&gt;=N($D94),"✅ MET","⚠ SHORT "&amp;TEXT(N($D94)-N($H94),"0")&amp;" "&amp;$E94)))</f>
        <v>✅ MET</v>
      </c>
      <c r="J94" s="1" t="s">
        <v>1750</v>
      </c>
      <c r="L94" s="1" t="s">
        <v>1751</v>
      </c>
    </row>
    <row r="95" customFormat="false" ht="15.75" hidden="false" customHeight="true" outlineLevel="0" collapsed="false">
      <c r="A95" s="1" t="s">
        <v>1495</v>
      </c>
      <c r="B95" s="1" t="s">
        <v>1752</v>
      </c>
      <c r="C95" s="1" t="s">
        <v>1212</v>
      </c>
      <c r="D95" s="1" t="n">
        <f aca="false">'Jug Recipes'!D29</f>
        <v>1</v>
      </c>
      <c r="E95" s="1" t="s">
        <v>1753</v>
      </c>
      <c r="F95" s="1" t="n">
        <f aca="false">'Jug Recipes'!F29</f>
        <v>14</v>
      </c>
      <c r="G95" s="1" t="s">
        <v>1528</v>
      </c>
      <c r="H95" s="1" t="n">
        <v>1</v>
      </c>
      <c r="I95" s="1" t="str">
        <f aca="false">IF(AND($H95="",$J95=""),"· not ordered",IF($H95="","⚠ REVIEW",IF(N($H95)&gt;=N($D95),"✅ MET","⚠ SHORT "&amp;TEXT(N($D95)-N($H95),"0")&amp;" "&amp;$E95)))</f>
        <v>✅ MET</v>
      </c>
      <c r="J95" s="1" t="s">
        <v>1754</v>
      </c>
      <c r="L95" s="1" t="s">
        <v>1755</v>
      </c>
    </row>
    <row r="96" customFormat="false" ht="15.75" hidden="false" customHeight="true" outlineLevel="0" collapsed="false">
      <c r="A96" s="1" t="s">
        <v>1495</v>
      </c>
      <c r="B96" s="1" t="s">
        <v>1756</v>
      </c>
      <c r="C96" s="1" t="s">
        <v>1222</v>
      </c>
      <c r="D96" s="29" t="n">
        <f aca="false">'Camp Drinks'!E8</f>
        <v>4</v>
      </c>
      <c r="E96" s="1" t="s">
        <v>308</v>
      </c>
      <c r="F96" s="61" t="n">
        <f aca="false">'Camp Drinks'!H8</f>
        <v>26</v>
      </c>
      <c r="G96" s="1" t="s">
        <v>1528</v>
      </c>
      <c r="H96" s="1" t="n">
        <v>4</v>
      </c>
      <c r="I96" s="1" t="str">
        <f aca="false">IF(AND($H96="",$J96=""),"· not ordered",IF($H96="","⚠ REVIEW",IF(N($H96)&gt;=N($D96),"✅ MET","⚠ SHORT "&amp;TEXT(N($D96)-N($H96),"0")&amp;" "&amp;$E96)))</f>
        <v>✅ MET</v>
      </c>
      <c r="J96" s="1" t="s">
        <v>1757</v>
      </c>
      <c r="L96" s="1" t="s">
        <v>1758</v>
      </c>
    </row>
    <row r="97" customFormat="false" ht="15.75" hidden="false" customHeight="true" outlineLevel="0" collapsed="false">
      <c r="A97" s="1" t="s">
        <v>1495</v>
      </c>
      <c r="B97" s="1" t="s">
        <v>1759</v>
      </c>
      <c r="C97" s="1" t="s">
        <v>1222</v>
      </c>
      <c r="D97" s="29" t="n">
        <f aca="false">'Camp Drinks'!E9</f>
        <v>1</v>
      </c>
      <c r="E97" s="1" t="s">
        <v>312</v>
      </c>
      <c r="F97" s="61" t="n">
        <f aca="false">'Camp Drinks'!H9</f>
        <v>7</v>
      </c>
      <c r="G97" s="1" t="s">
        <v>1528</v>
      </c>
      <c r="H97" s="1" t="n">
        <v>1</v>
      </c>
      <c r="I97" s="1" t="str">
        <f aca="false">IF(AND($H97="",$J97=""),"· not ordered",IF($H97="","⚠ REVIEW",IF(N($H97)&gt;=N($D97),"✅ MET","⚠ SHORT "&amp;TEXT(N($D97)-N($H97),"0")&amp;" "&amp;$E97)))</f>
        <v>✅ MET</v>
      </c>
      <c r="J97" s="1" t="s">
        <v>1754</v>
      </c>
      <c r="L97" s="1" t="s">
        <v>1760</v>
      </c>
    </row>
    <row r="98" customFormat="false" ht="15.75" hidden="false" customHeight="true" outlineLevel="0" collapsed="false">
      <c r="A98" s="1" t="s">
        <v>1495</v>
      </c>
      <c r="B98" s="1" t="s">
        <v>1761</v>
      </c>
      <c r="C98" s="1" t="s">
        <v>1222</v>
      </c>
      <c r="D98" s="29" t="n">
        <f aca="false">'Camp Drinks'!E10</f>
        <v>1</v>
      </c>
      <c r="E98" s="1" t="s">
        <v>312</v>
      </c>
      <c r="F98" s="61" t="n">
        <f aca="false">'Camp Drinks'!H10</f>
        <v>12</v>
      </c>
      <c r="G98" s="1" t="s">
        <v>1528</v>
      </c>
      <c r="H98" s="1" t="n">
        <v>1</v>
      </c>
      <c r="I98" s="1" t="str">
        <f aca="false">IF(AND($H98="",$J98=""),"· not ordered",IF($H98="","⚠ REVIEW",IF(N($H98)&gt;=N($D98),"✅ MET","⚠ SHORT "&amp;TEXT(N($D98)-N($H98),"0")&amp;" "&amp;$E98)))</f>
        <v>✅ MET</v>
      </c>
      <c r="J98" s="1" t="s">
        <v>1762</v>
      </c>
      <c r="L98" s="1" t="s">
        <v>1763</v>
      </c>
    </row>
    <row r="99" customFormat="false" ht="15.75" hidden="false" customHeight="true" outlineLevel="0" collapsed="false">
      <c r="A99" s="1" t="s">
        <v>1495</v>
      </c>
      <c r="B99" s="1" t="s">
        <v>1764</v>
      </c>
      <c r="C99" s="1" t="s">
        <v>1210</v>
      </c>
      <c r="D99" s="1" t="n">
        <v>3</v>
      </c>
      <c r="E99" s="1" t="s">
        <v>1497</v>
      </c>
      <c r="F99" s="1" t="n">
        <f aca="false">D99*4.35</f>
        <v>13.05</v>
      </c>
      <c r="G99" s="1" t="s">
        <v>1528</v>
      </c>
      <c r="H99" s="1" t="n">
        <v>3</v>
      </c>
      <c r="I99" s="1" t="str">
        <f aca="false">IF(AND($H99="",$J99=""),"· not ordered",IF($H99="","⚠ REVIEW",IF(N($H99)&gt;=N($D99),"✅ MET","⚠ SHORT "&amp;TEXT(N($D99)-N($H99),"0")&amp;" "&amp;$E99)))</f>
        <v>✅ MET</v>
      </c>
      <c r="J99" s="1" t="s">
        <v>1765</v>
      </c>
      <c r="K99" s="1" t="s">
        <v>1766</v>
      </c>
      <c r="L99" s="117" t="s">
        <v>1767</v>
      </c>
    </row>
    <row r="100" customFormat="false" ht="15.75" hidden="false" customHeight="true" outlineLevel="0" collapsed="false">
      <c r="A100" s="1" t="s">
        <v>1495</v>
      </c>
      <c r="B100" s="1" t="s">
        <v>1768</v>
      </c>
      <c r="C100" s="1" t="s">
        <v>1196</v>
      </c>
      <c r="D100" s="67" t="n">
        <f aca="false">'Other Consumables'!D56</f>
        <v>2</v>
      </c>
      <c r="E100" s="1" t="s">
        <v>343</v>
      </c>
      <c r="F100" s="1" t="n">
        <f aca="false">D100*Assumptions!$B$246</f>
        <v>40</v>
      </c>
      <c r="G100" s="1" t="s">
        <v>1528</v>
      </c>
      <c r="H100" s="1" t="n">
        <v>2</v>
      </c>
      <c r="I100" s="1" t="str">
        <f aca="false">IF(AND($H100="",$J100=""),"· not ordered",IF($H100="","⚠ REVIEW",IF(N($H100)&gt;=N($D100),"✅ MET","⚠ SHORT "&amp;TEXT(N($D100)-N($H100),"0")&amp;" "&amp;$E100)))</f>
        <v>✅ MET</v>
      </c>
      <c r="J100" s="1" t="s">
        <v>1769</v>
      </c>
      <c r="L100" s="1" t="s">
        <v>1770</v>
      </c>
    </row>
    <row r="101" customFormat="false" ht="15.75" hidden="false" customHeight="true" outlineLevel="0" collapsed="false">
      <c r="A101" s="1" t="s">
        <v>1495</v>
      </c>
      <c r="B101" s="1" t="s">
        <v>1771</v>
      </c>
      <c r="C101" s="1" t="s">
        <v>1210</v>
      </c>
      <c r="D101" s="1" t="n">
        <v>6</v>
      </c>
      <c r="E101" s="1" t="s">
        <v>1749</v>
      </c>
      <c r="F101" s="1" t="n">
        <f aca="false">D101*2.5</f>
        <v>15</v>
      </c>
      <c r="G101" s="1" t="s">
        <v>1528</v>
      </c>
      <c r="H101" s="1" t="n">
        <v>6</v>
      </c>
      <c r="I101" s="1" t="str">
        <f aca="false">IF(AND($H101="",$J101=""),"· not ordered",IF($H101="","⚠ REVIEW",IF(N($H101)&gt;=N($D101),"✅ MET","⚠ SHORT "&amp;TEXT(N($D101)-N($H101),"0")&amp;" "&amp;$E101)))</f>
        <v>✅ MET</v>
      </c>
      <c r="J101" s="1" t="s">
        <v>1772</v>
      </c>
      <c r="L101" s="117" t="s">
        <v>1773</v>
      </c>
    </row>
    <row r="102" customFormat="false" ht="15.75" hidden="false" customHeight="true" outlineLevel="0" collapsed="false">
      <c r="A102" s="1" t="s">
        <v>1495</v>
      </c>
      <c r="B102" s="1" t="s">
        <v>1774</v>
      </c>
      <c r="C102" s="1" t="s">
        <v>1210</v>
      </c>
      <c r="D102" s="1" t="n">
        <v>3</v>
      </c>
      <c r="E102" s="1" t="s">
        <v>1497</v>
      </c>
      <c r="F102" s="1" t="n">
        <f aca="false">D102*8</f>
        <v>24</v>
      </c>
      <c r="G102" s="1" t="s">
        <v>1528</v>
      </c>
      <c r="H102" s="1" t="n">
        <v>3</v>
      </c>
      <c r="I102" s="1" t="str">
        <f aca="false">IF(AND($H102="",$J102=""),"· not ordered",IF($H102="","⚠ REVIEW",IF(N($H102)&gt;=N($D102),"✅ MET","⚠ SHORT "&amp;TEXT(N($D102)-N($H102),"0")&amp;" "&amp;$E102)))</f>
        <v>✅ MET</v>
      </c>
      <c r="J102" s="1" t="s">
        <v>1775</v>
      </c>
      <c r="L102" s="1" t="s">
        <v>1776</v>
      </c>
      <c r="R102" s="1" t="n">
        <f aca="false">R23+R24+R25+R26+R27+R10+R28+R79</f>
        <v>2002.5</v>
      </c>
      <c r="S102" s="1" t="n">
        <f aca="false">S23+S24+S25+S26+S27+S10+S28+S79</f>
        <v>2302.875</v>
      </c>
      <c r="T102" s="1" t="n">
        <f aca="false">T23+T24+T25+T26+T27+T10+T28+T79</f>
        <v>2167.675</v>
      </c>
      <c r="U102" s="1" t="n">
        <f aca="false">U23+U24+U25+U26+U27+U10+U28+U79</f>
        <v>262</v>
      </c>
    </row>
    <row r="103" customFormat="false" ht="15.75" hidden="false" customHeight="true" outlineLevel="0" collapsed="false">
      <c r="A103" s="1" t="s">
        <v>1495</v>
      </c>
      <c r="B103" s="1" t="s">
        <v>1777</v>
      </c>
      <c r="C103" s="1" t="s">
        <v>1196</v>
      </c>
      <c r="D103" s="1" t="n">
        <v>1</v>
      </c>
      <c r="E103" s="1" t="s">
        <v>343</v>
      </c>
      <c r="F103" s="1" t="n">
        <f aca="false">D103*13.49</f>
        <v>13.49</v>
      </c>
      <c r="G103" s="1" t="s">
        <v>1528</v>
      </c>
      <c r="H103" s="1" t="n">
        <v>1</v>
      </c>
      <c r="I103" s="1" t="str">
        <f aca="false">IF(AND($H103="",$J103=""),"· not ordered",IF($H103="","⚠ REVIEW",IF(N($H103)&gt;=N($D103),"✅ MET","⚠ SHORT "&amp;TEXT(N($D103)-N($H103),"0")&amp;" "&amp;$E103)))</f>
        <v>✅ MET</v>
      </c>
      <c r="J103" s="1" t="s">
        <v>1778</v>
      </c>
      <c r="L103" s="1" t="s">
        <v>1779</v>
      </c>
    </row>
    <row r="104" customFormat="false" ht="15.75" hidden="false" customHeight="true" outlineLevel="0" collapsed="false">
      <c r="A104" s="1" t="s">
        <v>1495</v>
      </c>
      <c r="B104" s="1" t="s">
        <v>1780</v>
      </c>
      <c r="C104" s="1" t="s">
        <v>1191</v>
      </c>
      <c r="D104" s="1" t="n">
        <f aca="false">CEILING('Other Consumables'!$C$10/Assumptions!$B$265,1)</f>
        <v>1</v>
      </c>
      <c r="E104" s="1" t="s">
        <v>343</v>
      </c>
      <c r="F104" s="1" t="n">
        <f aca="false">D104*Assumptions!$B$266</f>
        <v>10</v>
      </c>
      <c r="G104" s="1" t="s">
        <v>1528</v>
      </c>
      <c r="H104" s="1" t="n">
        <v>1</v>
      </c>
      <c r="I104" s="1" t="str">
        <f aca="false">IF(AND($H104="",$J104=""),"· not ordered",IF($H104="","⚠ REVIEW",IF(N($H104)&gt;=N($D104),"✅ MET","⚠ SHORT "&amp;TEXT(N($D104)-N($H104),"0")&amp;" "&amp;$E104)))</f>
        <v>✅ MET</v>
      </c>
      <c r="J104" s="1" t="s">
        <v>1754</v>
      </c>
      <c r="L104" s="1" t="s">
        <v>1781</v>
      </c>
    </row>
    <row r="105" customFormat="false" ht="15.75" hidden="false" customHeight="true" outlineLevel="0" collapsed="false">
      <c r="A105" s="1" t="s">
        <v>1495</v>
      </c>
      <c r="B105" s="1" t="s">
        <v>1782</v>
      </c>
      <c r="C105" s="1" t="s">
        <v>1210</v>
      </c>
      <c r="D105" s="1" t="n">
        <v>6</v>
      </c>
      <c r="E105" s="1" t="s">
        <v>1497</v>
      </c>
      <c r="F105" s="1" t="n">
        <v>44</v>
      </c>
      <c r="G105" s="1" t="s">
        <v>1528</v>
      </c>
      <c r="H105" s="1" t="n">
        <v>6</v>
      </c>
      <c r="I105" s="1" t="str">
        <f aca="false">IF(AND($H105="",$J105=""),"· not ordered",IF($H105="","⚠ REVIEW",IF(N($H105)&gt;=N($D105),"✅ MET","⚠ SHORT "&amp;TEXT(N($D105)-N($H105),"0")&amp;" "&amp;$E105)))</f>
        <v>✅ MET</v>
      </c>
      <c r="J105" s="1" t="s">
        <v>1783</v>
      </c>
      <c r="L105" s="1" t="s">
        <v>1784</v>
      </c>
    </row>
    <row r="106" customFormat="false" ht="15.75" hidden="false" customHeight="true" outlineLevel="0" collapsed="false">
      <c r="A106" s="1" t="s">
        <v>1495</v>
      </c>
      <c r="B106" s="1" t="s">
        <v>1785</v>
      </c>
      <c r="C106" s="1" t="s">
        <v>1196</v>
      </c>
      <c r="D106" s="1" t="n">
        <v>1</v>
      </c>
      <c r="E106" s="1" t="s">
        <v>343</v>
      </c>
      <c r="F106" s="1" t="n">
        <v>13.05</v>
      </c>
      <c r="G106" s="1" t="s">
        <v>1528</v>
      </c>
      <c r="H106" s="1" t="n">
        <v>1</v>
      </c>
      <c r="I106" s="1" t="str">
        <f aca="false">IF(AND($H106="",$J106=""),"· not ordered",IF($H106="","⚠ REVIEW",IF(N($H106)&gt;=N($D106),"✅ MET","⚠ SHORT "&amp;TEXT(N($D106)-N($H106),"0")&amp;" "&amp;$E106)))</f>
        <v>✅ MET</v>
      </c>
      <c r="J106" s="1" t="s">
        <v>1786</v>
      </c>
      <c r="L106" s="1" t="s">
        <v>1787</v>
      </c>
    </row>
    <row r="107" customFormat="false" ht="15.75" hidden="false" customHeight="true" outlineLevel="0" collapsed="false">
      <c r="A107" s="1" t="s">
        <v>1495</v>
      </c>
      <c r="B107" s="1" t="s">
        <v>1788</v>
      </c>
      <c r="C107" s="1" t="s">
        <v>1215</v>
      </c>
      <c r="D107" s="1" t="n">
        <f aca="false">Assumptions!$B$273</f>
        <v>10</v>
      </c>
      <c r="E107" s="1" t="s">
        <v>1789</v>
      </c>
      <c r="F107" s="1" t="n">
        <f aca="false">D107*Assumptions!$B$275</f>
        <v>240</v>
      </c>
      <c r="G107" s="1" t="s">
        <v>1545</v>
      </c>
      <c r="I107" s="1" t="str">
        <f aca="false">IF(AND($H107="",$J107=""),"· not ordered",IF($H107="","⚠ REVIEW",IF(N($H107)&gt;=N($D107),"✅ MET","⚠ SHORT "&amp;TEXT(N($D107)-N($H107),"0")&amp;" "&amp;$E107)))</f>
        <v>· not ordered</v>
      </c>
      <c r="L107" s="1" t="s">
        <v>1790</v>
      </c>
    </row>
    <row r="108" customFormat="false" ht="15.75" hidden="false" customHeight="true" outlineLevel="0" collapsed="false">
      <c r="A108" s="1" t="s">
        <v>1495</v>
      </c>
      <c r="B108" s="1" t="s">
        <v>1791</v>
      </c>
      <c r="C108" s="1" t="s">
        <v>1196</v>
      </c>
      <c r="D108" s="1" t="n">
        <f aca="false">'Other Consumables'!D59</f>
        <v>8</v>
      </c>
      <c r="E108" s="1" t="s">
        <v>343</v>
      </c>
      <c r="F108" s="1" t="n">
        <f aca="false">D108*Assumptions!$B$296</f>
        <v>40</v>
      </c>
      <c r="G108" s="1" t="s">
        <v>1545</v>
      </c>
      <c r="I108" s="1" t="str">
        <f aca="false">IF(AND($H108="",$J108=""),"· not ordered",IF($H108="","⚠ REVIEW",IF(N($H108)&gt;=N($D108),"✅ MET","⚠ SHORT "&amp;TEXT(N($D108)-N($H108),"0")&amp;" "&amp;$E108)))</f>
        <v>· not ordered</v>
      </c>
      <c r="L108" s="1" t="s">
        <v>1792</v>
      </c>
    </row>
    <row r="109" customFormat="false" ht="15.75" hidden="false" customHeight="true" outlineLevel="0" collapsed="false">
      <c r="A109" s="1" t="s">
        <v>1495</v>
      </c>
      <c r="B109" s="1" t="s">
        <v>1793</v>
      </c>
      <c r="C109" s="1" t="s">
        <v>1196</v>
      </c>
      <c r="D109" s="1" t="n">
        <f aca="false">'Other Consumables'!D60</f>
        <v>8</v>
      </c>
      <c r="E109" s="1" t="s">
        <v>1608</v>
      </c>
      <c r="F109" s="1" t="n">
        <f aca="false">D109*Assumptions!$B$70</f>
        <v>59.92</v>
      </c>
      <c r="G109" s="1" t="s">
        <v>1545</v>
      </c>
      <c r="I109" s="1" t="str">
        <f aca="false">IF(AND($H109="",$J109=""),"· not ordered",IF($H109="","⚠ REVIEW",IF(N($H109)&gt;=N($D109),"✅ MET","⚠ SHORT "&amp;TEXT(N($D109)-N($H109),"0")&amp;" "&amp;$E109)))</f>
        <v>· not ordered</v>
      </c>
      <c r="L109" s="1" t="s">
        <v>1794</v>
      </c>
    </row>
    <row r="110" customFormat="false" ht="15.75" hidden="false" customHeight="true" outlineLevel="0" collapsed="false">
      <c r="B110" s="1" t="s">
        <v>1795</v>
      </c>
      <c r="F110" s="1" t="n">
        <f aca="false">SUM(F5:F109)</f>
        <v>3940.95142857143</v>
      </c>
    </row>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2">
    <mergeCell ref="A1:G1"/>
    <mergeCell ref="A3:G3"/>
  </mergeCells>
  <conditionalFormatting sqref="H5:I92">
    <cfRule type="expression" priority="2" aboveAverage="0" equalAverage="0" bottom="0" percent="0" rank="0" text="" dxfId="0">
      <formula>ISNUMBER(SEARCH("MET",$I5))</formula>
    </cfRule>
    <cfRule type="expression" priority="3" aboveAverage="0" equalAverage="0" bottom="0" percent="0" rank="0" text="" dxfId="1">
      <formula>ISNUMBER(SEARCH("SHORT",$I5))</formula>
    </cfRule>
    <cfRule type="expression" priority="4" aboveAverage="0" equalAverage="0" bottom="0" percent="0" rank="0" text="" dxfId="2">
      <formula>ISNUMBER(SEARCH("REVIEW",$I5))</formula>
    </cfRule>
  </conditionalFormatting>
  <hyperlinks>
    <hyperlink ref="C5" r:id="rId1" display="Hardwa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5" activeCellId="0" sqref="D15"/>
    </sheetView>
  </sheetViews>
  <sheetFormatPr defaultColWidth="14.4296875" defaultRowHeight="15"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3" min="3" style="1" width="8"/>
    <col collapsed="false" customWidth="true" hidden="false" outlineLevel="0" max="4" min="4" style="1" width="42"/>
    <col collapsed="false" customWidth="true" hidden="false" outlineLevel="0" max="5" min="5" style="1" width="30"/>
    <col collapsed="false" customWidth="true" hidden="false" outlineLevel="0" max="26" min="6" style="1" width="8.71"/>
  </cols>
  <sheetData>
    <row r="1" customFormat="false" ht="25.5" hidden="false" customHeight="true" outlineLevel="0" collapsed="false">
      <c r="A1" s="8" t="s">
        <v>1796</v>
      </c>
      <c r="B1" s="8"/>
      <c r="C1" s="8"/>
      <c r="D1" s="8"/>
      <c r="E1" s="8"/>
    </row>
    <row r="3" customFormat="false" ht="15" hidden="false" customHeight="true" outlineLevel="0" collapsed="false">
      <c r="A3" s="111" t="s">
        <v>1797</v>
      </c>
      <c r="B3" s="111"/>
      <c r="C3" s="111"/>
      <c r="D3" s="111"/>
      <c r="E3" s="111"/>
    </row>
    <row r="4" customFormat="false" ht="15" hidden="false" customHeight="true" outlineLevel="0" collapsed="false">
      <c r="A4" s="50" t="s">
        <v>1482</v>
      </c>
      <c r="B4" s="50" t="s">
        <v>340</v>
      </c>
      <c r="C4" s="50" t="s">
        <v>296</v>
      </c>
      <c r="D4" s="50" t="s">
        <v>1798</v>
      </c>
      <c r="E4" s="50" t="s">
        <v>1485</v>
      </c>
    </row>
    <row r="5" customFormat="false" ht="15.75" hidden="false" customHeight="true" outlineLevel="0" collapsed="false">
      <c r="A5" s="116" t="s">
        <v>1495</v>
      </c>
      <c r="B5" s="14" t="s">
        <v>1496</v>
      </c>
      <c r="C5" s="102" t="n">
        <v>3</v>
      </c>
      <c r="D5" s="118" t="s">
        <v>1799</v>
      </c>
      <c r="E5" s="118" t="s">
        <v>1800</v>
      </c>
    </row>
    <row r="6" customFormat="false" ht="15.75" hidden="false" customHeight="true" outlineLevel="0" collapsed="false">
      <c r="A6" s="116" t="s">
        <v>1801</v>
      </c>
      <c r="B6" s="14" t="s">
        <v>1802</v>
      </c>
      <c r="C6" s="102" t="n">
        <v>3</v>
      </c>
      <c r="D6" s="118" t="s">
        <v>1803</v>
      </c>
      <c r="E6" s="118" t="s">
        <v>1800</v>
      </c>
    </row>
    <row r="7" customFormat="false" ht="15.75" hidden="false" customHeight="true" outlineLevel="0" collapsed="false">
      <c r="A7" s="116" t="s">
        <v>1495</v>
      </c>
      <c r="B7" s="14" t="s">
        <v>1500</v>
      </c>
      <c r="C7" s="102" t="n">
        <v>2</v>
      </c>
      <c r="D7" s="118" t="s">
        <v>1804</v>
      </c>
      <c r="E7" s="118" t="s">
        <v>1800</v>
      </c>
    </row>
    <row r="8" customFormat="false" ht="15.75" hidden="false" customHeight="true" outlineLevel="0" collapsed="false">
      <c r="A8" s="116" t="s">
        <v>1801</v>
      </c>
      <c r="B8" s="14" t="s">
        <v>1805</v>
      </c>
      <c r="C8" s="102" t="n">
        <v>2</v>
      </c>
      <c r="D8" s="118" t="s">
        <v>1806</v>
      </c>
      <c r="E8" s="118" t="s">
        <v>1807</v>
      </c>
    </row>
    <row r="9" customFormat="false" ht="15.75" hidden="false" customHeight="true" outlineLevel="0" collapsed="false">
      <c r="A9" s="116" t="s">
        <v>1495</v>
      </c>
      <c r="B9" s="14" t="s">
        <v>1503</v>
      </c>
      <c r="C9" s="102" t="n">
        <v>1</v>
      </c>
      <c r="D9" s="118" t="s">
        <v>1808</v>
      </c>
      <c r="E9" s="118" t="s">
        <v>1809</v>
      </c>
    </row>
    <row r="10" customFormat="false" ht="15.75" hidden="false" customHeight="true" outlineLevel="0" collapsed="false">
      <c r="A10" s="116" t="s">
        <v>1495</v>
      </c>
      <c r="B10" s="14" t="s">
        <v>1505</v>
      </c>
      <c r="C10" s="102" t="n">
        <v>2</v>
      </c>
      <c r="D10" s="118" t="s">
        <v>1810</v>
      </c>
      <c r="E10" s="118" t="s">
        <v>1800</v>
      </c>
    </row>
    <row r="11" customFormat="false" ht="15.75" hidden="false" customHeight="true" outlineLevel="0" collapsed="false">
      <c r="A11" s="116" t="s">
        <v>1495</v>
      </c>
      <c r="B11" s="14" t="s">
        <v>1507</v>
      </c>
      <c r="C11" s="102" t="n">
        <v>2</v>
      </c>
      <c r="D11" s="118" t="s">
        <v>1811</v>
      </c>
      <c r="E11" s="118" t="s">
        <v>1807</v>
      </c>
    </row>
    <row r="12" customFormat="false" ht="15.75" hidden="false" customHeight="true" outlineLevel="0" collapsed="false">
      <c r="A12" s="116" t="s">
        <v>1801</v>
      </c>
      <c r="B12" s="14" t="s">
        <v>1812</v>
      </c>
      <c r="C12" s="102" t="n">
        <v>1</v>
      </c>
      <c r="D12" s="118" t="s">
        <v>1813</v>
      </c>
      <c r="E12" s="118" t="s">
        <v>1800</v>
      </c>
    </row>
    <row r="13" customFormat="false" ht="15.75" hidden="false" customHeight="true" outlineLevel="0" collapsed="false">
      <c r="A13" s="116" t="s">
        <v>1495</v>
      </c>
      <c r="B13" s="14" t="s">
        <v>1510</v>
      </c>
      <c r="C13" s="102" t="n">
        <v>2</v>
      </c>
      <c r="D13" s="118" t="s">
        <v>1814</v>
      </c>
      <c r="E13" s="118" t="s">
        <v>1807</v>
      </c>
    </row>
    <row r="14" customFormat="false" ht="15.75" hidden="false" customHeight="true" outlineLevel="0" collapsed="false">
      <c r="A14" s="116" t="s">
        <v>1801</v>
      </c>
      <c r="B14" s="14" t="s">
        <v>1815</v>
      </c>
      <c r="C14" s="102" t="n">
        <v>2</v>
      </c>
      <c r="D14" s="118" t="s">
        <v>1816</v>
      </c>
      <c r="E14" s="118" t="s">
        <v>1807</v>
      </c>
    </row>
    <row r="15" customFormat="false" ht="15.75" hidden="false" customHeight="true" outlineLevel="0" collapsed="false">
      <c r="A15" s="116" t="s">
        <v>1495</v>
      </c>
      <c r="B15" s="14" t="s">
        <v>1512</v>
      </c>
      <c r="C15" s="102" t="n">
        <v>1</v>
      </c>
      <c r="D15" s="118" t="s">
        <v>1817</v>
      </c>
      <c r="E15" s="118" t="s">
        <v>1800</v>
      </c>
    </row>
    <row r="16" customFormat="false" ht="15.75" hidden="false" customHeight="true" outlineLevel="0" collapsed="false">
      <c r="A16" s="116" t="s">
        <v>1801</v>
      </c>
      <c r="B16" s="14" t="s">
        <v>1818</v>
      </c>
      <c r="C16" s="102" t="n">
        <v>1</v>
      </c>
      <c r="D16" s="118" t="s">
        <v>1819</v>
      </c>
      <c r="E16" s="118" t="s">
        <v>1800</v>
      </c>
    </row>
    <row r="17" customFormat="false" ht="15.75" hidden="false" customHeight="true" outlineLevel="0" collapsed="false">
      <c r="A17" s="116" t="s">
        <v>1495</v>
      </c>
      <c r="B17" s="14" t="s">
        <v>1514</v>
      </c>
      <c r="C17" s="102" t="n">
        <v>1</v>
      </c>
      <c r="D17" s="118" t="s">
        <v>1820</v>
      </c>
      <c r="E17" s="118" t="s">
        <v>1800</v>
      </c>
    </row>
    <row r="18" customFormat="false" ht="15.75" hidden="false" customHeight="true" outlineLevel="0" collapsed="false">
      <c r="A18" s="116" t="s">
        <v>1801</v>
      </c>
      <c r="B18" s="14" t="s">
        <v>1821</v>
      </c>
      <c r="C18" s="102" t="n">
        <v>2</v>
      </c>
      <c r="D18" s="118" t="s">
        <v>1822</v>
      </c>
      <c r="E18" s="118" t="s">
        <v>1800</v>
      </c>
    </row>
    <row r="19" customFormat="false" ht="15.75" hidden="false" customHeight="true" outlineLevel="0" collapsed="false">
      <c r="A19" s="116" t="s">
        <v>1801</v>
      </c>
      <c r="B19" s="14" t="s">
        <v>1823</v>
      </c>
      <c r="C19" s="102" t="n">
        <v>2</v>
      </c>
      <c r="D19" s="118" t="s">
        <v>1824</v>
      </c>
      <c r="E19" s="118" t="s">
        <v>1807</v>
      </c>
    </row>
    <row r="20" customFormat="false" ht="15.75" hidden="false" customHeight="true" outlineLevel="0" collapsed="false">
      <c r="A20" s="116" t="s">
        <v>1801</v>
      </c>
      <c r="B20" s="14" t="s">
        <v>1825</v>
      </c>
      <c r="C20" s="102" t="n">
        <v>2</v>
      </c>
      <c r="D20" s="118" t="s">
        <v>1826</v>
      </c>
      <c r="E20" s="118" t="s">
        <v>1807</v>
      </c>
    </row>
    <row r="21" customFormat="false" ht="15.75" hidden="false" customHeight="true" outlineLevel="0" collapsed="false">
      <c r="A21" s="116" t="s">
        <v>1495</v>
      </c>
      <c r="B21" s="14" t="s">
        <v>1516</v>
      </c>
      <c r="C21" s="102" t="n">
        <v>1</v>
      </c>
      <c r="D21" s="118" t="s">
        <v>1827</v>
      </c>
      <c r="E21" s="118" t="s">
        <v>1800</v>
      </c>
    </row>
    <row r="22" customFormat="false" ht="15.75" hidden="false" customHeight="true" outlineLevel="0" collapsed="false">
      <c r="A22" s="116" t="s">
        <v>1495</v>
      </c>
      <c r="B22" s="14" t="s">
        <v>1518</v>
      </c>
      <c r="C22" s="102" t="n">
        <v>2</v>
      </c>
      <c r="D22" s="118" t="s">
        <v>1828</v>
      </c>
      <c r="E22" s="118" t="s">
        <v>1800</v>
      </c>
    </row>
    <row r="23" customFormat="false" ht="15.75" hidden="false" customHeight="true" outlineLevel="0" collapsed="false">
      <c r="A23" s="116" t="s">
        <v>1801</v>
      </c>
      <c r="B23" s="14" t="s">
        <v>1829</v>
      </c>
      <c r="C23" s="102" t="n">
        <v>3</v>
      </c>
      <c r="D23" s="135" t="s">
        <v>1830</v>
      </c>
      <c r="E23" s="118" t="s">
        <v>1800</v>
      </c>
    </row>
    <row r="24" customFormat="false" ht="15.75" hidden="false" customHeight="true" outlineLevel="0" collapsed="false">
      <c r="A24" s="116" t="s">
        <v>1801</v>
      </c>
      <c r="B24" s="14" t="s">
        <v>1831</v>
      </c>
      <c r="C24" s="102" t="n">
        <v>3</v>
      </c>
      <c r="D24" s="118" t="s">
        <v>1832</v>
      </c>
      <c r="E24" s="118" t="s">
        <v>1800</v>
      </c>
    </row>
    <row r="25" customFormat="false" ht="15.75" hidden="false" customHeight="true" outlineLevel="0" collapsed="false">
      <c r="A25" s="1" t="s">
        <v>1801</v>
      </c>
      <c r="B25" s="1" t="s">
        <v>1833</v>
      </c>
      <c r="C25" s="1" t="n">
        <v>6</v>
      </c>
      <c r="D25" s="6" t="s">
        <v>1834</v>
      </c>
      <c r="E25" s="1" t="s">
        <v>1800</v>
      </c>
    </row>
    <row r="26" customFormat="false" ht="15.75" hidden="false" customHeight="true" outlineLevel="0" collapsed="false">
      <c r="A26" s="1" t="s">
        <v>1495</v>
      </c>
      <c r="B26" s="1" t="s">
        <v>1835</v>
      </c>
      <c r="C26" s="1" t="n">
        <v>6</v>
      </c>
      <c r="D26" s="6" t="s">
        <v>1836</v>
      </c>
      <c r="E26" s="1" t="s">
        <v>1837</v>
      </c>
    </row>
    <row r="27" customFormat="false" ht="15.75" hidden="false" customHeight="true" outlineLevel="0" collapsed="false">
      <c r="A27" s="1" t="s">
        <v>1801</v>
      </c>
      <c r="B27" s="1" t="s">
        <v>1838</v>
      </c>
      <c r="C27" s="1" t="n">
        <v>6</v>
      </c>
      <c r="D27" s="6" t="s">
        <v>1839</v>
      </c>
      <c r="E27" s="1" t="s">
        <v>1840</v>
      </c>
    </row>
    <row r="28" customFormat="false" ht="15.75" hidden="false" customHeight="true" outlineLevel="0" collapsed="false">
      <c r="A28" s="1" t="s">
        <v>1801</v>
      </c>
      <c r="B28" s="1" t="s">
        <v>1841</v>
      </c>
      <c r="C28" s="1" t="n">
        <v>6</v>
      </c>
      <c r="D28" s="1" t="s">
        <v>1842</v>
      </c>
      <c r="E28" s="1" t="s">
        <v>1843</v>
      </c>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E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S1048576"/>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K15" activeCellId="0" sqref="K15"/>
    </sheetView>
  </sheetViews>
  <sheetFormatPr defaultColWidth="8.4296875" defaultRowHeight="15" zeroHeight="false" outlineLevelRow="0" outlineLevelCol="0"/>
  <cols>
    <col collapsed="false" customWidth="true" hidden="false" outlineLevel="0" max="1" min="1" style="1" width="13"/>
    <col collapsed="false" customWidth="true" hidden="false" outlineLevel="0" max="2" min="2" style="1" width="30"/>
    <col collapsed="false" customWidth="true" hidden="false" outlineLevel="0" max="3" min="3" style="1" width="8"/>
    <col collapsed="false" customWidth="true" hidden="false" outlineLevel="0" max="4" min="4" style="1" width="10"/>
    <col collapsed="false" customWidth="true" hidden="false" outlineLevel="0" max="5" min="5" style="1" width="11"/>
    <col collapsed="false" customWidth="true" hidden="false" outlineLevel="0" max="6" min="6" style="1" width="12"/>
    <col collapsed="false" customWidth="true" hidden="false" outlineLevel="0" max="7" min="7" style="1" width="30"/>
    <col collapsed="false" customWidth="true" hidden="false" outlineLevel="0" max="10" min="8" style="1" width="52"/>
    <col collapsed="false" customWidth="true" hidden="false" outlineLevel="0" max="11" min="11" style="1" width="14"/>
    <col collapsed="false" customWidth="true" hidden="false" outlineLevel="0" max="12" min="12" style="1" width="55"/>
    <col collapsed="false" customWidth="true" hidden="false" outlineLevel="0" max="14" min="13" style="1" width="12"/>
    <col collapsed="false" customWidth="true" hidden="false" outlineLevel="0" max="16" min="15" style="1" width="14"/>
    <col collapsed="false" customWidth="true" hidden="false" outlineLevel="0" max="17" min="17" style="1" width="26"/>
  </cols>
  <sheetData>
    <row r="1" customFormat="false" ht="15" hidden="false" customHeight="true" outlineLevel="0" collapsed="false">
      <c r="A1" s="2" t="s">
        <v>1844</v>
      </c>
      <c r="B1" s="3"/>
      <c r="C1" s="3"/>
      <c r="D1" s="3"/>
      <c r="E1" s="3"/>
      <c r="F1" s="3"/>
      <c r="G1" s="3"/>
      <c r="H1" s="3"/>
      <c r="I1" s="3"/>
    </row>
    <row r="2" customFormat="false" ht="54" hidden="false" customHeight="true" outlineLevel="0" collapsed="false">
      <c r="A2" s="4" t="s">
        <v>1845</v>
      </c>
      <c r="B2" s="4"/>
      <c r="C2" s="4"/>
      <c r="D2" s="4"/>
      <c r="E2" s="4"/>
      <c r="F2" s="4"/>
      <c r="G2" s="4"/>
      <c r="H2" s="4"/>
      <c r="I2" s="4"/>
    </row>
    <row r="3" customFormat="false" ht="15" hidden="false" customHeight="true" outlineLevel="0" collapsed="false">
      <c r="A3" s="5"/>
      <c r="B3" s="5"/>
      <c r="C3" s="5"/>
      <c r="D3" s="5"/>
      <c r="E3" s="5"/>
      <c r="F3" s="5"/>
      <c r="G3" s="5"/>
      <c r="H3" s="5"/>
      <c r="I3" s="5"/>
      <c r="J3" s="5"/>
      <c r="K3" s="5"/>
      <c r="L3" s="5"/>
      <c r="M3" s="5"/>
      <c r="N3" s="5"/>
      <c r="O3" s="5"/>
      <c r="P3" s="5"/>
      <c r="Q3" s="5"/>
      <c r="R3" s="5"/>
      <c r="S3" s="5"/>
    </row>
    <row r="4" customFormat="false" ht="15" hidden="false" customHeight="true" outlineLevel="0" collapsed="false">
      <c r="A4" s="27" t="s">
        <v>140</v>
      </c>
      <c r="B4" s="27" t="s">
        <v>1846</v>
      </c>
      <c r="C4" s="27" t="s">
        <v>1847</v>
      </c>
      <c r="D4" s="27" t="s">
        <v>21</v>
      </c>
      <c r="E4" s="136" t="s">
        <v>1848</v>
      </c>
      <c r="F4" s="27" t="s">
        <v>1849</v>
      </c>
      <c r="G4" s="27" t="s">
        <v>1850</v>
      </c>
      <c r="H4" s="27" t="s">
        <v>1851</v>
      </c>
      <c r="I4" s="27" t="s">
        <v>1852</v>
      </c>
      <c r="J4" s="5"/>
      <c r="K4" s="5"/>
      <c r="L4" s="5"/>
      <c r="M4" s="5"/>
      <c r="N4" s="5"/>
      <c r="O4" s="5"/>
      <c r="P4" s="5"/>
      <c r="Q4" s="5"/>
      <c r="R4" s="1"/>
      <c r="S4" s="1"/>
    </row>
    <row r="5" customFormat="false" ht="75.75" hidden="false" customHeight="true" outlineLevel="0" collapsed="false">
      <c r="A5" s="23" t="str">
        <f aca="false">'Jug Recipes'!A4</f>
        <v>Sunday</v>
      </c>
      <c r="B5" s="1" t="str">
        <f aca="false">'Jug Recipes'!C4</f>
        <v>Cherry Bomb (Cherry Limeade)</v>
      </c>
      <c r="C5" s="1" t="n">
        <f aca="false">'Jug Recipes'!B4</f>
        <v>1</v>
      </c>
      <c r="D5" s="29" t="n">
        <f aca="false">'Jug Recipes'!E4</f>
        <v>33</v>
      </c>
      <c r="E5" s="29" t="n">
        <f aca="false">Assumptions!$B$82</f>
        <v>3</v>
      </c>
      <c r="F5" s="1" t="n">
        <f aca="false">Assumptions!$B$86</f>
        <v>5</v>
      </c>
      <c r="G5" s="6" t="s">
        <v>120</v>
      </c>
      <c r="H5" s="6" t="s">
        <v>1853</v>
      </c>
      <c r="I5" s="6" t="s">
        <v>1854</v>
      </c>
      <c r="R5" s="1"/>
      <c r="S5" s="1"/>
    </row>
    <row r="6" customFormat="false" ht="75.75" hidden="false" customHeight="true" outlineLevel="0" collapsed="false">
      <c r="A6" s="23" t="str">
        <f aca="false">'Jug Recipes'!A5</f>
        <v>Monday</v>
      </c>
      <c r="B6" s="1" t="str">
        <f aca="false">'Jug Recipes'!C5</f>
        <v>Hard Reset (Watermelon-Mint Aqua Fresca)</v>
      </c>
      <c r="C6" s="1" t="n">
        <f aca="false">'Jug Recipes'!B5</f>
        <v>1</v>
      </c>
      <c r="D6" s="29" t="n">
        <f aca="false">'Jug Recipes'!E5</f>
        <v>33</v>
      </c>
      <c r="E6" s="29" t="n">
        <f aca="false">Assumptions!$B$82</f>
        <v>3</v>
      </c>
      <c r="F6" s="1" t="n">
        <f aca="false">Assumptions!$B$86</f>
        <v>5</v>
      </c>
      <c r="G6" s="6" t="s">
        <v>120</v>
      </c>
      <c r="H6" s="6" t="s">
        <v>1855</v>
      </c>
      <c r="I6" s="6" t="s">
        <v>1856</v>
      </c>
      <c r="R6" s="1"/>
      <c r="S6" s="1"/>
    </row>
    <row r="7" customFormat="false" ht="75.75" hidden="false" customHeight="true" outlineLevel="0" collapsed="false">
      <c r="A7" s="23" t="str">
        <f aca="false">'Jug Recipes'!A6</f>
        <v>Tuesday</v>
      </c>
      <c r="B7" s="1" t="str">
        <f aca="false">'Jug Recipes'!C6</f>
        <v>Smoke Test (Lapsang Souchong Lemonade)</v>
      </c>
      <c r="C7" s="1" t="n">
        <f aca="false">'Jug Recipes'!B6</f>
        <v>1</v>
      </c>
      <c r="D7" s="29" t="n">
        <f aca="false">'Jug Recipes'!E6</f>
        <v>33</v>
      </c>
      <c r="E7" s="28" t="n">
        <f aca="false">Assumptions!$B$82</f>
        <v>3</v>
      </c>
      <c r="F7" s="5" t="n">
        <f aca="false">Assumptions!$B$86</f>
        <v>5</v>
      </c>
      <c r="G7" s="6" t="s">
        <v>120</v>
      </c>
      <c r="H7" s="6" t="s">
        <v>1857</v>
      </c>
      <c r="I7" s="6" t="s">
        <v>1858</v>
      </c>
      <c r="J7" s="5"/>
      <c r="K7" s="5"/>
      <c r="L7" s="5"/>
      <c r="M7" s="5"/>
      <c r="N7" s="5"/>
      <c r="O7" s="5"/>
      <c r="P7" s="5"/>
      <c r="Q7" s="5"/>
      <c r="R7" s="1"/>
      <c r="S7" s="1"/>
    </row>
    <row r="8" customFormat="false" ht="75.75" hidden="false" customHeight="true" outlineLevel="0" collapsed="false">
      <c r="A8" s="23" t="str">
        <f aca="false">'Jug Recipes'!A7</f>
        <v>Wednesday</v>
      </c>
      <c r="B8" s="1" t="str">
        <f aca="false">'Jug Recipes'!C7</f>
        <v>Red Flag (Agua de Jamaica)</v>
      </c>
      <c r="C8" s="1" t="n">
        <f aca="false">'Jug Recipes'!B7</f>
        <v>2</v>
      </c>
      <c r="D8" s="29" t="n">
        <f aca="false">'Jug Recipes'!E7</f>
        <v>66</v>
      </c>
      <c r="E8" s="29" t="n">
        <f aca="false">Assumptions!$B$82</f>
        <v>3</v>
      </c>
      <c r="F8" s="1" t="n">
        <f aca="false">Assumptions!$B$86</f>
        <v>5</v>
      </c>
      <c r="G8" s="6" t="s">
        <v>1859</v>
      </c>
      <c r="H8" s="6" t="s">
        <v>120</v>
      </c>
      <c r="I8" s="6" t="s">
        <v>1860</v>
      </c>
      <c r="R8" s="1"/>
      <c r="S8" s="1"/>
    </row>
    <row r="9" customFormat="false" ht="75.75" hidden="false" customHeight="true" outlineLevel="0" collapsed="false">
      <c r="A9" s="23" t="str">
        <f aca="false">'Jug Recipes'!A8</f>
        <v>Thursday</v>
      </c>
      <c r="B9" s="1" t="str">
        <f aca="false">'Jug Recipes'!C8</f>
        <v>Gradient Descent (Malibu Sunrise)</v>
      </c>
      <c r="C9" s="1" t="n">
        <f aca="false">'Jug Recipes'!B8</f>
        <v>1</v>
      </c>
      <c r="D9" s="29" t="n">
        <f aca="false">'Jug Recipes'!E8</f>
        <v>33</v>
      </c>
      <c r="E9" s="29" t="n">
        <f aca="false">Assumptions!$B$82</f>
        <v>3</v>
      </c>
      <c r="F9" s="1" t="n">
        <f aca="false">Assumptions!$B$86</f>
        <v>5</v>
      </c>
      <c r="G9" s="6" t="s">
        <v>1861</v>
      </c>
      <c r="H9" s="30" t="s">
        <v>120</v>
      </c>
      <c r="I9" s="6" t="s">
        <v>1862</v>
      </c>
      <c r="R9" s="1"/>
      <c r="S9" s="1"/>
    </row>
    <row r="10" customFormat="false" ht="75.75" hidden="false" customHeight="true" outlineLevel="0" collapsed="false">
      <c r="A10" s="23" t="str">
        <f aca="false">'Jug Recipes'!A9</f>
        <v>Friday</v>
      </c>
      <c r="B10" s="1" t="str">
        <f aca="false">'Jug Recipes'!C9</f>
        <v>Whore-chata</v>
      </c>
      <c r="C10" s="1" t="n">
        <f aca="false">'Jug Recipes'!B9</f>
        <v>1</v>
      </c>
      <c r="D10" s="29" t="n">
        <f aca="false">'Jug Recipes'!E9</f>
        <v>33</v>
      </c>
      <c r="E10" s="29" t="n">
        <f aca="false">Assumptions!$B$82</f>
        <v>3</v>
      </c>
      <c r="F10" s="1" t="n">
        <f aca="false">Assumptions!$B$86</f>
        <v>5</v>
      </c>
      <c r="G10" s="6" t="s">
        <v>1863</v>
      </c>
      <c r="H10" s="6" t="s">
        <v>1864</v>
      </c>
      <c r="I10" s="30" t="s">
        <v>1865</v>
      </c>
      <c r="R10" s="1"/>
      <c r="S10" s="1"/>
    </row>
    <row r="11" customFormat="false" ht="75.75" hidden="false" customHeight="true" outlineLevel="0" collapsed="false">
      <c r="A11" s="23" t="str">
        <f aca="false">'Jug Recipes'!A10</f>
        <v>Saturday</v>
      </c>
      <c r="B11" s="1" t="str">
        <f aca="false">'Jug Recipes'!C10</f>
        <v>Sleep Mode (Peach Green Iced Tea)</v>
      </c>
      <c r="C11" s="1" t="n">
        <f aca="false">'Jug Recipes'!B10</f>
        <v>1</v>
      </c>
      <c r="D11" s="29" t="n">
        <f aca="false">'Jug Recipes'!E10</f>
        <v>33</v>
      </c>
      <c r="E11" s="1" t="n">
        <f aca="false">Assumptions!$B$82</f>
        <v>3</v>
      </c>
      <c r="F11" s="1" t="n">
        <f aca="false">Assumptions!$B$86</f>
        <v>5</v>
      </c>
      <c r="G11" s="6" t="s">
        <v>1866</v>
      </c>
      <c r="H11" s="6" t="s">
        <v>1867</v>
      </c>
      <c r="I11" s="30" t="s">
        <v>1868</v>
      </c>
      <c r="S11" s="1"/>
    </row>
    <row r="12" customFormat="false" ht="75.75" hidden="false" customHeight="true" outlineLevel="0" collapsed="false">
      <c r="A12" s="23" t="str">
        <f aca="false">'Jug Recipes'!A11</f>
        <v>Sunday (closing)</v>
      </c>
      <c r="B12" s="1" t="str">
        <f aca="false">'Jug Recipes'!C11</f>
        <v>Graceful Shutdown (Peach Green Iced Tea)</v>
      </c>
      <c r="C12" s="1" t="n">
        <f aca="false">'Jug Recipes'!B11</f>
        <v>1</v>
      </c>
      <c r="D12" s="29" t="n">
        <f aca="false">'Jug Recipes'!E11</f>
        <v>33</v>
      </c>
      <c r="E12" s="1" t="n">
        <f aca="false">Assumptions!$B$82</f>
        <v>3</v>
      </c>
      <c r="F12" s="1" t="n">
        <f aca="false">Assumptions!$B$86</f>
        <v>5</v>
      </c>
      <c r="G12" s="6" t="s">
        <v>120</v>
      </c>
      <c r="H12" s="6" t="s">
        <v>1869</v>
      </c>
      <c r="I12" s="30" t="s">
        <v>1870</v>
      </c>
      <c r="S12" s="1"/>
    </row>
    <row r="13" customFormat="false" ht="15" hidden="false" customHeight="true" outlineLevel="0" collapsed="false">
      <c r="A13" s="5"/>
    </row>
    <row r="14" customFormat="false" ht="15" hidden="false" customHeight="true" outlineLevel="0" collapsed="false">
      <c r="A14" s="5" t="s">
        <v>1871</v>
      </c>
    </row>
    <row r="15" customFormat="false" ht="27.75" hidden="false" customHeight="true" outlineLevel="0" collapsed="false">
      <c r="A15" s="4" t="s">
        <v>1872</v>
      </c>
      <c r="B15" s="4"/>
      <c r="C15" s="4"/>
      <c r="D15" s="4"/>
      <c r="E15" s="4"/>
      <c r="F15" s="4"/>
      <c r="G15" s="4"/>
      <c r="H15" s="4"/>
      <c r="I15" s="4"/>
    </row>
    <row r="16" customFormat="false" ht="27.75" hidden="false" customHeight="true" outlineLevel="0" collapsed="false">
      <c r="A16" s="4" t="s">
        <v>1873</v>
      </c>
      <c r="B16" s="4"/>
      <c r="C16" s="4"/>
      <c r="D16" s="4"/>
      <c r="E16" s="4"/>
      <c r="F16" s="4"/>
      <c r="G16" s="4"/>
      <c r="H16" s="4"/>
      <c r="I16" s="4"/>
    </row>
    <row r="17" customFormat="false" ht="27.75" hidden="false" customHeight="true" outlineLevel="0" collapsed="false">
      <c r="A17" s="4" t="s">
        <v>1874</v>
      </c>
      <c r="B17" s="4"/>
      <c r="C17" s="4"/>
      <c r="D17" s="4"/>
      <c r="E17" s="4"/>
      <c r="F17" s="4"/>
      <c r="G17" s="4"/>
      <c r="H17" s="4"/>
      <c r="I17" s="4"/>
    </row>
    <row r="18" customFormat="false" ht="27.75" hidden="false" customHeight="true" outlineLevel="0" collapsed="false">
      <c r="A18" s="4" t="s">
        <v>1875</v>
      </c>
      <c r="B18" s="4"/>
      <c r="C18" s="4"/>
      <c r="D18" s="4"/>
      <c r="E18" s="4"/>
      <c r="F18" s="4"/>
      <c r="G18" s="4"/>
      <c r="H18" s="4"/>
      <c r="I18" s="4"/>
    </row>
    <row r="19" customFormat="false" ht="27.75" hidden="false" customHeight="true" outlineLevel="0" collapsed="false">
      <c r="A19" s="4" t="s">
        <v>1876</v>
      </c>
      <c r="B19" s="4"/>
      <c r="C19" s="4"/>
      <c r="D19" s="4"/>
      <c r="E19" s="4"/>
      <c r="F19" s="4"/>
      <c r="G19" s="4"/>
      <c r="H19" s="4"/>
      <c r="I19" s="4"/>
    </row>
    <row r="20" customFormat="false" ht="27.75" hidden="false" customHeight="true" outlineLevel="0" collapsed="false">
      <c r="A20" s="4" t="s">
        <v>1877</v>
      </c>
      <c r="B20" s="4"/>
      <c r="C20" s="4"/>
      <c r="D20" s="4"/>
      <c r="E20" s="4"/>
      <c r="F20" s="4"/>
      <c r="G20" s="4"/>
      <c r="H20" s="4"/>
      <c r="I20" s="4"/>
    </row>
    <row r="21" customFormat="false" ht="27.75" hidden="false" customHeight="true" outlineLevel="0" collapsed="false">
      <c r="A21" s="4" t="s">
        <v>1878</v>
      </c>
      <c r="B21" s="4"/>
      <c r="C21" s="4"/>
      <c r="D21" s="4"/>
      <c r="E21" s="4"/>
      <c r="F21" s="4"/>
      <c r="G21" s="4"/>
      <c r="H21" s="4"/>
      <c r="I21" s="4"/>
    </row>
    <row r="22" customFormat="false" ht="27.75" hidden="false" customHeight="true" outlineLevel="0" collapsed="false">
      <c r="A22" s="4" t="s">
        <v>1879</v>
      </c>
      <c r="B22" s="4"/>
      <c r="C22" s="4"/>
      <c r="D22" s="4"/>
      <c r="E22" s="4"/>
      <c r="F22" s="4"/>
      <c r="G22" s="4"/>
      <c r="H22" s="4"/>
      <c r="I22" s="4"/>
    </row>
    <row r="23" customFormat="false" ht="27.75" hidden="false" customHeight="true" outlineLevel="0" collapsed="false">
      <c r="A23" s="4" t="s">
        <v>1880</v>
      </c>
      <c r="B23" s="4"/>
      <c r="C23" s="4"/>
      <c r="D23" s="4"/>
      <c r="E23" s="4"/>
      <c r="F23" s="4"/>
      <c r="G23" s="4"/>
      <c r="H23" s="4"/>
      <c r="I23" s="4"/>
    </row>
    <row r="24" customFormat="false" ht="27.75" hidden="false" customHeight="true" outlineLevel="0" collapsed="false">
      <c r="A24" s="4" t="s">
        <v>1881</v>
      </c>
      <c r="B24" s="4"/>
      <c r="C24" s="4"/>
      <c r="D24" s="4"/>
      <c r="E24" s="4"/>
      <c r="F24" s="4"/>
      <c r="G24" s="4"/>
      <c r="H24" s="4"/>
      <c r="I24" s="4"/>
    </row>
    <row r="25" customFormat="false" ht="27.75" hidden="false" customHeight="true" outlineLevel="0" collapsed="false">
      <c r="A25" s="4" t="s">
        <v>1882</v>
      </c>
      <c r="B25" s="4"/>
      <c r="C25" s="4"/>
      <c r="D25" s="4"/>
      <c r="E25" s="4"/>
      <c r="F25" s="4"/>
      <c r="G25" s="4"/>
      <c r="H25" s="4"/>
      <c r="I25" s="4"/>
    </row>
    <row r="26" customFormat="false" ht="27.75" hidden="false" customHeight="true" outlineLevel="0" collapsed="false">
      <c r="A26" s="4" t="s">
        <v>1883</v>
      </c>
      <c r="B26" s="4"/>
      <c r="C26" s="4"/>
      <c r="D26" s="4"/>
      <c r="E26" s="4"/>
      <c r="F26" s="4"/>
      <c r="G26" s="4"/>
      <c r="H26" s="4"/>
      <c r="I26" s="4"/>
    </row>
    <row r="27" customFormat="false" ht="27.75" hidden="false" customHeight="true" outlineLevel="0" collapsed="false">
      <c r="A27" s="48" t="s">
        <v>1884</v>
      </c>
      <c r="B27" s="48"/>
      <c r="C27" s="48"/>
      <c r="D27" s="48"/>
      <c r="E27" s="48"/>
      <c r="F27" s="48"/>
      <c r="G27" s="48"/>
      <c r="H27" s="48"/>
      <c r="I27" s="48"/>
    </row>
    <row r="28" customFormat="false" ht="27.75" hidden="false" customHeight="true" outlineLevel="0" collapsed="false">
      <c r="A28" s="48" t="s">
        <v>1885</v>
      </c>
      <c r="B28" s="48"/>
      <c r="C28" s="48"/>
      <c r="D28" s="48"/>
      <c r="E28" s="48"/>
      <c r="F28" s="48"/>
      <c r="G28" s="48"/>
      <c r="H28" s="48"/>
      <c r="I28" s="48"/>
    </row>
    <row r="29" customFormat="false" ht="30" hidden="false" customHeight="true" outlineLevel="0" collapsed="false">
      <c r="A29" s="48" t="s">
        <v>1886</v>
      </c>
      <c r="B29" s="48"/>
      <c r="C29" s="48"/>
      <c r="D29" s="48"/>
      <c r="E29" s="48"/>
      <c r="F29" s="48"/>
      <c r="G29" s="48"/>
      <c r="H29" s="48"/>
      <c r="I29" s="48"/>
    </row>
    <row r="30" customFormat="false" ht="15" hidden="false" customHeight="true" outlineLevel="0" collapsed="false">
      <c r="A30" s="137" t="s">
        <v>1887</v>
      </c>
      <c r="B30" s="137"/>
      <c r="C30" s="137"/>
      <c r="D30" s="137"/>
      <c r="E30" s="137"/>
      <c r="F30" s="137"/>
      <c r="G30" s="137"/>
      <c r="H30" s="137"/>
      <c r="I30" s="137"/>
    </row>
    <row r="31" customFormat="false" ht="27.75" hidden="false" customHeight="true" outlineLevel="0" collapsed="false">
      <c r="A31" s="30" t="s">
        <v>1888</v>
      </c>
    </row>
    <row r="32" customFormat="false" ht="27.75" hidden="false" customHeight="true" outlineLevel="0" collapsed="false">
      <c r="A32" s="4" t="s">
        <v>1889</v>
      </c>
      <c r="B32" s="4"/>
      <c r="C32" s="4"/>
      <c r="D32" s="4"/>
      <c r="E32" s="4"/>
      <c r="F32" s="4"/>
      <c r="G32" s="4"/>
      <c r="H32" s="4"/>
      <c r="I32" s="4"/>
    </row>
    <row r="33" customFormat="false" ht="27.75" hidden="false" customHeight="true" outlineLevel="0" collapsed="false">
      <c r="A33" s="4" t="s">
        <v>1890</v>
      </c>
      <c r="B33" s="4"/>
      <c r="C33" s="4"/>
      <c r="D33" s="4"/>
      <c r="E33" s="4"/>
      <c r="F33" s="4"/>
      <c r="G33" s="4"/>
      <c r="H33" s="4"/>
      <c r="I33" s="4"/>
    </row>
    <row r="34" customFormat="false" ht="27.75" hidden="false" customHeight="true" outlineLevel="0" collapsed="false">
      <c r="A34" s="4" t="s">
        <v>1891</v>
      </c>
      <c r="B34" s="4"/>
      <c r="C34" s="4"/>
      <c r="D34" s="4"/>
      <c r="E34" s="4"/>
      <c r="F34" s="4"/>
      <c r="G34" s="4"/>
      <c r="H34" s="4"/>
      <c r="I34" s="4"/>
    </row>
    <row r="35" customFormat="false" ht="27.75" hidden="false" customHeight="true" outlineLevel="0" collapsed="false">
      <c r="A35" s="4" t="s">
        <v>1892</v>
      </c>
      <c r="B35" s="4"/>
      <c r="C35" s="4"/>
      <c r="D35" s="4"/>
      <c r="E35" s="4"/>
      <c r="F35" s="4"/>
      <c r="G35" s="4"/>
      <c r="H35" s="4"/>
      <c r="I35" s="4"/>
    </row>
    <row r="36" customFormat="false" ht="15" hidden="false" customHeight="true" outlineLevel="0" collapsed="false">
      <c r="A36" s="4" t="s">
        <v>1893</v>
      </c>
      <c r="B36" s="4"/>
      <c r="C36" s="4"/>
      <c r="D36" s="4"/>
      <c r="E36" s="4"/>
      <c r="F36" s="4"/>
      <c r="G36" s="4"/>
      <c r="H36" s="4"/>
      <c r="I36" s="4"/>
    </row>
    <row r="37" customFormat="false" ht="15" hidden="false" customHeight="true" outlineLevel="0" collapsed="false">
      <c r="A37" s="26" t="s">
        <v>1894</v>
      </c>
      <c r="B37" s="26"/>
      <c r="C37" s="26"/>
      <c r="D37" s="26"/>
      <c r="E37" s="26"/>
      <c r="F37" s="26"/>
      <c r="G37" s="26"/>
      <c r="H37" s="26"/>
      <c r="I37" s="26"/>
    </row>
    <row r="38" customFormat="false" ht="43.5" hidden="false" customHeight="true" outlineLevel="0" collapsed="false">
      <c r="A38" s="5"/>
    </row>
    <row r="39" customFormat="false" ht="25.5" hidden="false" customHeight="true" outlineLevel="0" collapsed="false">
      <c r="A39" s="6" t="s">
        <v>1895</v>
      </c>
    </row>
    <row r="40" customFormat="false" ht="15" hidden="false" customHeight="true" outlineLevel="0" collapsed="false">
      <c r="A40" s="26" t="s">
        <v>1896</v>
      </c>
      <c r="B40" s="26"/>
      <c r="C40" s="26"/>
      <c r="D40" s="26"/>
      <c r="E40" s="26"/>
      <c r="F40" s="26"/>
      <c r="G40" s="26"/>
      <c r="H40" s="26"/>
      <c r="I40" s="26"/>
    </row>
    <row r="1048576" customFormat="false" ht="12.75" hidden="false" customHeight="true" outlineLevel="0" collapsed="false"/>
  </sheetData>
  <mergeCells count="24">
    <mergeCell ref="A2:I2"/>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2:I32"/>
    <mergeCell ref="A33:I33"/>
    <mergeCell ref="A34:I34"/>
    <mergeCell ref="A35:I35"/>
    <mergeCell ref="A36:I36"/>
    <mergeCell ref="A37:I37"/>
    <mergeCell ref="A40:I4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E85"/>
  <sheetViews>
    <sheetView showFormulas="false" showGridLines="true" showRowColHeaders="true" showZeros="true" rightToLeft="false" tabSelected="false" showOutlineSymbols="true" defaultGridColor="true" view="normal" topLeftCell="I100" colorId="64" zoomScale="100" zoomScaleNormal="100" zoomScalePageLayoutView="100" workbookViewId="0">
      <selection pane="topLeft" activeCell="R163" activeCellId="0" sqref="R163"/>
    </sheetView>
  </sheetViews>
  <sheetFormatPr defaultColWidth="8.42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30"/>
    <col collapsed="false" customWidth="true" hidden="false" outlineLevel="0" max="5" min="4" style="1" width="20"/>
  </cols>
  <sheetData>
    <row r="1" customFormat="false" ht="15" hidden="false" customHeight="true" outlineLevel="0" collapsed="false">
      <c r="A1" s="2" t="s">
        <v>1897</v>
      </c>
      <c r="B1" s="3"/>
      <c r="C1" s="3"/>
      <c r="D1" s="3"/>
    </row>
    <row r="2" customFormat="false" ht="15" hidden="false" customHeight="true" outlineLevel="0" collapsed="false"/>
    <row r="3" customFormat="false" ht="61.5" hidden="false" customHeight="true" outlineLevel="0" collapsed="false">
      <c r="A3" s="4" t="s">
        <v>1898</v>
      </c>
      <c r="B3" s="4"/>
      <c r="C3" s="4"/>
      <c r="D3" s="4"/>
    </row>
    <row r="4" customFormat="false" ht="15" hidden="false" customHeight="true" outlineLevel="0" collapsed="false">
      <c r="A4" s="5"/>
      <c r="B4" s="5"/>
      <c r="C4" s="5"/>
      <c r="D4" s="5"/>
      <c r="E4" s="5"/>
    </row>
    <row r="5" customFormat="false" ht="15" hidden="false" customHeight="true" outlineLevel="0" collapsed="false">
      <c r="A5" s="5" t="s">
        <v>1899</v>
      </c>
    </row>
    <row r="6" customFormat="false" ht="15" hidden="false" customHeight="true" outlineLevel="0" collapsed="false">
      <c r="A6" s="27" t="s">
        <v>246</v>
      </c>
      <c r="B6" s="27" t="s">
        <v>1900</v>
      </c>
      <c r="C6" s="27" t="s">
        <v>1901</v>
      </c>
      <c r="D6" s="27" t="s">
        <v>1902</v>
      </c>
    </row>
    <row r="7" customFormat="false" ht="15" hidden="false" customHeight="true" outlineLevel="0" collapsed="false">
      <c r="A7" s="23" t="str">
        <f aca="false">'Dirty Soda - Built Drinks'!A3</f>
        <v>Tang Dynasty</v>
      </c>
      <c r="B7" s="63" t="s">
        <v>1903</v>
      </c>
      <c r="C7" s="63" t="s">
        <v>1903</v>
      </c>
      <c r="D7" s="63" t="str">
        <f aca="false">IF(OR('Dirty Soda - Built Drinks'!M3="",'Dirty Soda - Built Drinks'!M3=0),"—",'Dirty Soda - Built Drinks'!M3)</f>
        <v>Vodka</v>
      </c>
    </row>
    <row r="8" customFormat="false" ht="15" hidden="false" customHeight="true" outlineLevel="0" collapsed="false">
      <c r="A8" s="23" t="str">
        <f aca="false">'Dirty Soda - Built Drinks'!A4</f>
        <v>Michelada</v>
      </c>
      <c r="B8" s="63" t="s">
        <v>1904</v>
      </c>
      <c r="C8" s="63" t="s">
        <v>1905</v>
      </c>
      <c r="D8" s="63" t="str">
        <f aca="false">IF(OR('Dirty Soda - Built Drinks'!M4="",'Dirty Soda - Built Drinks'!M4=0),"—",'Dirty Soda - Built Drinks'!M4)</f>
        <v>—</v>
      </c>
    </row>
    <row r="9" customFormat="false" ht="15" hidden="false" customHeight="true" outlineLevel="0" collapsed="false">
      <c r="A9" s="23" t="str">
        <f aca="false">'Dirty Soda - Built Drinks'!A5</f>
        <v>Vanilla Cherry Grove</v>
      </c>
      <c r="B9" s="63" t="s">
        <v>1903</v>
      </c>
      <c r="C9" s="63" t="s">
        <v>1903</v>
      </c>
      <c r="D9" s="63" t="str">
        <f aca="false">IF(OR('Dirty Soda - Built Drinks'!M5="",'Dirty Soda - Built Drinks'!M5=0),"—",'Dirty Soda - Built Drinks'!M5)</f>
        <v>Bourbon</v>
      </c>
    </row>
    <row r="10" customFormat="false" ht="15" hidden="false" customHeight="true" outlineLevel="0" collapsed="false">
      <c r="A10" s="23" t="str">
        <f aca="false">'Dirty Soda - Built Drinks'!A6</f>
        <v>Orange Cream-sicle</v>
      </c>
      <c r="B10" s="138" t="s">
        <v>1903</v>
      </c>
      <c r="C10" s="63" t="s">
        <v>1903</v>
      </c>
      <c r="D10" s="63" t="str">
        <f aca="false">IF(OR('Dirty Soda - Built Drinks'!M6="",'Dirty Soda - Built Drinks'!M6=0),"—",'Dirty Soda - Built Drinks'!M6)</f>
        <v>Vodka</v>
      </c>
    </row>
    <row r="11" customFormat="false" ht="15" hidden="false" customHeight="true" outlineLevel="0" collapsed="false">
      <c r="A11" s="23" t="str">
        <f aca="false">'Dirty Soda - Built Drinks'!A7</f>
        <v>Watermelon Sugar High</v>
      </c>
      <c r="B11" s="138" t="s">
        <v>1903</v>
      </c>
      <c r="C11" s="63" t="s">
        <v>1903</v>
      </c>
      <c r="D11" s="63" t="str">
        <f aca="false">IF(OR('Dirty Soda - Built Drinks'!M7="",'Dirty Soda - Built Drinks'!M7=0),"—",'Dirty Soda - Built Drinks'!M7)</f>
        <v>Blanco Tequila</v>
      </c>
    </row>
    <row r="12" customFormat="false" ht="15" hidden="false" customHeight="true" outlineLevel="0" collapsed="false">
      <c r="A12" s="23" t="str">
        <f aca="false">'Dirty Soda - Built Drinks'!A8</f>
        <v>A Ginger's Pickle (Big Dill Energy)</v>
      </c>
      <c r="B12" s="63" t="s">
        <v>1903</v>
      </c>
      <c r="C12" s="63" t="s">
        <v>1903</v>
      </c>
      <c r="D12" s="63" t="str">
        <f aca="false">IF(OR('Dirty Soda - Built Drinks'!M8="",'Dirty Soda - Built Drinks'!M8=0),"—",'Dirty Soda - Built Drinks'!M8)</f>
        <v>Whiskey</v>
      </c>
    </row>
    <row r="13" customFormat="false" ht="15" hidden="false" customHeight="true" outlineLevel="0" collapsed="false">
      <c r="A13" s="23" t="str">
        <f aca="false">'Dirty Soda - Built Drinks'!A9</f>
        <v>The Dr's Cream</v>
      </c>
      <c r="B13" s="63" t="s">
        <v>1903</v>
      </c>
      <c r="C13" s="63" t="s">
        <v>1903</v>
      </c>
      <c r="D13" s="63" t="str">
        <f aca="false">IF(OR('Dirty Soda - Built Drinks'!M9="",'Dirty Soda - Built Drinks'!M9=0),"—",'Dirty Soda - Built Drinks'!M9)</f>
        <v>Bourbon</v>
      </c>
    </row>
    <row r="14" customFormat="false" ht="109.5" hidden="false" customHeight="true" outlineLevel="0" collapsed="false">
      <c r="A14" s="139" t="str">
        <f aca="false">'Dirty Soda - Built Drinks'!A10</f>
        <v>The Dr's Peach Exam</v>
      </c>
      <c r="B14" s="63" t="s">
        <v>1903</v>
      </c>
      <c r="C14" s="63" t="s">
        <v>1903</v>
      </c>
      <c r="D14" s="63" t="str">
        <f aca="false">IF(OR('Dirty Soda - Built Drinks'!M10="",'Dirty Soda - Built Drinks'!M10=0),"—",'Dirty Soda - Built Drinks'!M10)</f>
        <v>Whiskey</v>
      </c>
    </row>
    <row r="15" customFormat="false" ht="15" hidden="false" customHeight="true" outlineLevel="0" collapsed="false">
      <c r="A15" s="23" t="str">
        <f aca="false">'Dirty Soda - Built Drinks'!A11</f>
        <v>SCOBY Mule</v>
      </c>
      <c r="B15" s="63" t="s">
        <v>1903</v>
      </c>
      <c r="C15" s="63" t="s">
        <v>1903</v>
      </c>
      <c r="D15" s="63" t="str">
        <f aca="false">IF(OR('Dirty Soda - Built Drinks'!M11="",'Dirty Soda - Built Drinks'!M11=0),"—",'Dirty Soda - Built Drinks'!M11)</f>
        <v>Vodka</v>
      </c>
    </row>
    <row r="16" customFormat="false" ht="15" hidden="false" customHeight="true" outlineLevel="0" collapsed="false">
      <c r="A16" s="23" t="str">
        <f aca="false">'Dirty Soda - Built Drinks'!A12</f>
        <v>Thirst Trap</v>
      </c>
      <c r="B16" s="63" t="s">
        <v>1903</v>
      </c>
      <c r="C16" s="63" t="s">
        <v>1903</v>
      </c>
      <c r="D16" s="63" t="str">
        <f aca="false">IF(OR('Dirty Soda - Built Drinks'!M12="",'Dirty Soda - Built Drinks'!M12=0),"—",'Dirty Soda - Built Drinks'!M12)</f>
        <v>Blanco Tequila</v>
      </c>
    </row>
    <row r="17" customFormat="false" ht="15" hidden="false" customHeight="true" outlineLevel="0" collapsed="false">
      <c r="A17" s="23" t="str">
        <f aca="false">'Dirty Soda - Built Drinks'!A14</f>
        <v>Clear Cache</v>
      </c>
      <c r="B17" s="63" t="s">
        <v>1903</v>
      </c>
      <c r="C17" s="63" t="s">
        <v>1903</v>
      </c>
      <c r="D17" s="63" t="str">
        <f aca="false">IF(OR('Dirty Soda - Built Drinks'!M14="",'Dirty Soda - Built Drinks'!M14=0),"—",'Dirty Soda - Built Drinks'!M14)</f>
        <v>Bourbon</v>
      </c>
    </row>
    <row r="18" customFormat="false" ht="15" hidden="false" customHeight="true" outlineLevel="0" collapsed="false">
      <c r="A18" s="23" t="str">
        <f aca="false">'Dirty Soda - Built Drinks'!A17</f>
        <v>Shirley Temple of Doom</v>
      </c>
      <c r="B18" s="63" t="s">
        <v>1903</v>
      </c>
      <c r="C18" s="63" t="s">
        <v>1903</v>
      </c>
      <c r="D18" s="63" t="str">
        <f aca="false">IF(OR('Dirty Soda - Built Drinks'!M17="",'Dirty Soda - Built Drinks'!M17=0),"—",'Dirty Soda - Built Drinks'!M17)</f>
        <v>Vodka</v>
      </c>
    </row>
    <row r="19" customFormat="false" ht="15" hidden="false" customHeight="true" outlineLevel="0" collapsed="false">
      <c r="A19" s="23" t="str">
        <f aca="false">'Dirty Soda - Built Drinks'!A18</f>
        <v>Shirley Mule</v>
      </c>
      <c r="B19" s="63" t="s">
        <v>1903</v>
      </c>
      <c r="C19" s="63" t="s">
        <v>1903</v>
      </c>
      <c r="D19" s="63" t="str">
        <f aca="false">IF(OR('Dirty Soda - Built Drinks'!M18="",'Dirty Soda - Built Drinks'!M18=0),"—",'Dirty Soda - Built Drinks'!M18)</f>
        <v>Vodka</v>
      </c>
    </row>
    <row r="20" customFormat="false" ht="15" hidden="false" customHeight="true" outlineLevel="0" collapsed="false">
      <c r="A20" s="23" t="str">
        <f aca="false">'Dirty Soda - Built Drinks'!A19</f>
        <v>Root Access</v>
      </c>
      <c r="B20" s="63" t="s">
        <v>1903</v>
      </c>
      <c r="C20" s="63" t="s">
        <v>1903</v>
      </c>
      <c r="D20" s="63" t="str">
        <f aca="false">IF(OR('Dirty Soda - Built Drinks'!M19="",'Dirty Soda - Built Drinks'!M19=0),"—",'Dirty Soda - Built Drinks'!M19)</f>
        <v>Spiced Rum</v>
      </c>
    </row>
    <row r="21" customFormat="false" ht="15" hidden="false" customHeight="true" outlineLevel="0" collapsed="false">
      <c r="A21" s="23" t="str">
        <f aca="false">'Dirty Soda - Built Drinks'!A23</f>
        <v>Guavascript</v>
      </c>
      <c r="B21" s="63" t="s">
        <v>1903</v>
      </c>
      <c r="C21" s="63" t="s">
        <v>1906</v>
      </c>
      <c r="D21" s="63" t="str">
        <f aca="false">'Dirty Soda - Built Drinks'!M23&amp;" / Vodka"</f>
        <v>Blanco Tequila / Vodka</v>
      </c>
    </row>
    <row r="22" customFormat="false" ht="15" hidden="false" customHeight="true" outlineLevel="0" collapsed="false">
      <c r="A22" s="23" t="str">
        <f aca="false">'Dirty Soda - Built Drinks'!A22</f>
        <v>Margarita</v>
      </c>
      <c r="B22" s="63" t="s">
        <v>1907</v>
      </c>
      <c r="C22" s="63" t="s">
        <v>1908</v>
      </c>
      <c r="D22" s="63" t="str">
        <f aca="false">'Dirty Soda - Built Drinks'!M22</f>
        <v>Blanco Tequila</v>
      </c>
    </row>
    <row r="23" customFormat="false" ht="15" hidden="false" customHeight="true" outlineLevel="0" collapsed="false">
      <c r="A23" s="23" t="str">
        <f aca="false">'Dirty Soda - Built Drinks'!A21</f>
        <v>Ranch Water</v>
      </c>
      <c r="B23" s="63" t="s">
        <v>1909</v>
      </c>
      <c r="C23" s="63" t="s">
        <v>1910</v>
      </c>
      <c r="D23" s="63" t="str">
        <f aca="false">'Dirty Soda - Built Drinks'!M21</f>
        <v>Blanco Tequila</v>
      </c>
    </row>
    <row r="24" customFormat="false" ht="15" hidden="false" customHeight="true" outlineLevel="0" collapsed="false">
      <c r="A24" s="23"/>
      <c r="B24" s="63"/>
      <c r="C24" s="63"/>
      <c r="D24" s="63"/>
    </row>
    <row r="25" customFormat="false" ht="15" hidden="false" customHeight="true" outlineLevel="0" collapsed="false">
      <c r="A25" s="23" t="str">
        <f aca="false">'Beverage Lines'!A6</f>
        <v>Cider</v>
      </c>
      <c r="B25" s="63" t="s">
        <v>1269</v>
      </c>
      <c r="C25" s="63" t="s">
        <v>1911</v>
      </c>
      <c r="D25" s="63" t="s">
        <v>120</v>
      </c>
    </row>
    <row r="26" customFormat="false" ht="15" hidden="false" customHeight="true" outlineLevel="0" collapsed="false">
      <c r="A26" s="23" t="str">
        <f aca="false">'Beverage Lines'!A8</f>
        <v>Sour Ale</v>
      </c>
      <c r="B26" s="63" t="s">
        <v>1912</v>
      </c>
      <c r="C26" s="63" t="s">
        <v>1913</v>
      </c>
      <c r="D26" s="63" t="s">
        <v>120</v>
      </c>
    </row>
    <row r="27" customFormat="false" ht="15" hidden="false" customHeight="true" outlineLevel="0" collapsed="false">
      <c r="A27" s="23" t="s">
        <v>1914</v>
      </c>
      <c r="B27" s="63" t="s">
        <v>1915</v>
      </c>
      <c r="C27" s="63" t="s">
        <v>1916</v>
      </c>
      <c r="D27" s="63" t="s">
        <v>120</v>
      </c>
    </row>
    <row r="28" customFormat="false" ht="15" hidden="false" customHeight="true" outlineLevel="0" collapsed="false">
      <c r="A28" s="23" t="str">
        <f aca="false">'Beverage Lines'!A10</f>
        <v>Blonde Ale</v>
      </c>
      <c r="B28" s="63" t="s">
        <v>1917</v>
      </c>
      <c r="C28" s="63" t="s">
        <v>1911</v>
      </c>
      <c r="D28" s="63" t="s">
        <v>120</v>
      </c>
    </row>
    <row r="29" customFormat="false" ht="15" hidden="false" customHeight="true" outlineLevel="0" collapsed="false">
      <c r="A29" s="23" t="str">
        <f aca="false">'Beverage Lines'!A11</f>
        <v>Mexican Lager</v>
      </c>
      <c r="B29" s="63" t="s">
        <v>1918</v>
      </c>
      <c r="C29" s="63" t="s">
        <v>1911</v>
      </c>
      <c r="D29" s="63" t="s">
        <v>120</v>
      </c>
    </row>
    <row r="30" customFormat="false" ht="15" hidden="false" customHeight="true" outlineLevel="0" collapsed="false">
      <c r="A30" s="23" t="str">
        <f aca="false">'Beverage Lines'!A9</f>
        <v>Green tea</v>
      </c>
      <c r="B30" s="63" t="s">
        <v>81</v>
      </c>
      <c r="C30" s="63" t="s">
        <v>1919</v>
      </c>
      <c r="D30" s="63" t="s">
        <v>120</v>
      </c>
    </row>
    <row r="31" customFormat="false" ht="15" hidden="false" customHeight="true" outlineLevel="0" collapsed="false">
      <c r="A31" s="23" t="s">
        <v>1920</v>
      </c>
      <c r="B31" s="63" t="s">
        <v>1921</v>
      </c>
      <c r="C31" s="63" t="s">
        <v>1922</v>
      </c>
      <c r="D31" s="63" t="s">
        <v>120</v>
      </c>
    </row>
    <row r="32" customFormat="false" ht="15" hidden="false" customHeight="true" outlineLevel="0" collapsed="false">
      <c r="A32" s="23" t="s">
        <v>1923</v>
      </c>
      <c r="B32" s="63" t="s">
        <v>1921</v>
      </c>
      <c r="C32" s="63" t="s">
        <v>1924</v>
      </c>
      <c r="D32" s="63" t="s">
        <v>120</v>
      </c>
    </row>
    <row r="33" customFormat="false" ht="15" hidden="false" customHeight="true" outlineLevel="0" collapsed="false">
      <c r="A33" s="23" t="s">
        <v>1925</v>
      </c>
      <c r="B33" s="63" t="s">
        <v>1921</v>
      </c>
      <c r="C33" s="63" t="s">
        <v>1926</v>
      </c>
      <c r="D33" s="63" t="s">
        <v>120</v>
      </c>
    </row>
    <row r="34" customFormat="false" ht="15" hidden="false" customHeight="true" outlineLevel="0" collapsed="false">
      <c r="A34" s="23" t="s">
        <v>1927</v>
      </c>
      <c r="B34" s="63" t="s">
        <v>1921</v>
      </c>
      <c r="C34" s="63" t="s">
        <v>1928</v>
      </c>
      <c r="D34" s="63" t="s">
        <v>120</v>
      </c>
    </row>
    <row r="35" customFormat="false" ht="15" hidden="false" customHeight="true" outlineLevel="0" collapsed="false">
      <c r="A35" s="23" t="s">
        <v>1929</v>
      </c>
      <c r="B35" s="63" t="s">
        <v>1930</v>
      </c>
      <c r="C35" s="63" t="s">
        <v>1931</v>
      </c>
      <c r="D35" s="63" t="s">
        <v>120</v>
      </c>
    </row>
    <row r="36" customFormat="false" ht="15" hidden="false" customHeight="true" outlineLevel="0" collapsed="false">
      <c r="A36" s="23" t="s">
        <v>1932</v>
      </c>
      <c r="B36" s="63" t="s">
        <v>1930</v>
      </c>
      <c r="C36" s="63" t="s">
        <v>1933</v>
      </c>
      <c r="D36" s="63" t="s">
        <v>120</v>
      </c>
    </row>
    <row r="37" customFormat="false" ht="15" hidden="false" customHeight="true" outlineLevel="0" collapsed="false">
      <c r="A37" s="23" t="s">
        <v>1934</v>
      </c>
      <c r="B37" s="63" t="s">
        <v>1930</v>
      </c>
      <c r="C37" s="63" t="s">
        <v>1935</v>
      </c>
      <c r="D37" s="63" t="s">
        <v>120</v>
      </c>
    </row>
    <row r="38" customFormat="false" ht="15" hidden="false" customHeight="true" outlineLevel="0" collapsed="false">
      <c r="A38" s="23" t="s">
        <v>331</v>
      </c>
      <c r="B38" s="63" t="s">
        <v>1930</v>
      </c>
      <c r="C38" s="63" t="s">
        <v>1936</v>
      </c>
      <c r="D38" s="63" t="s">
        <v>120</v>
      </c>
    </row>
    <row r="39" customFormat="false" ht="30" hidden="false" customHeight="true" outlineLevel="0" collapsed="false">
      <c r="A39" s="23" t="s">
        <v>130</v>
      </c>
      <c r="B39" s="63" t="s">
        <v>1921</v>
      </c>
      <c r="C39" s="63" t="s">
        <v>1911</v>
      </c>
      <c r="D39" s="63" t="s">
        <v>40</v>
      </c>
    </row>
    <row r="40" customFormat="false" ht="15" hidden="false" customHeight="true" outlineLevel="0" collapsed="false">
      <c r="A40" s="23" t="s">
        <v>1016</v>
      </c>
      <c r="B40" s="63" t="s">
        <v>1921</v>
      </c>
      <c r="C40" s="63" t="s">
        <v>1937</v>
      </c>
      <c r="D40" s="63" t="s">
        <v>185</v>
      </c>
    </row>
    <row r="41" customFormat="false" ht="15" hidden="false" customHeight="true" outlineLevel="0" collapsed="false">
      <c r="A41" s="140" t="s">
        <v>1938</v>
      </c>
      <c r="B41" s="140" t="s">
        <v>1921</v>
      </c>
      <c r="C41" s="140" t="s">
        <v>1939</v>
      </c>
      <c r="D41" s="140" t="s">
        <v>40</v>
      </c>
    </row>
    <row r="42" customFormat="false" ht="15" hidden="false" customHeight="true" outlineLevel="0" collapsed="false">
      <c r="A42" s="7" t="s">
        <v>1940</v>
      </c>
      <c r="B42" s="63"/>
      <c r="C42" s="63"/>
      <c r="D42" s="63"/>
    </row>
    <row r="43" customFormat="false" ht="15" hidden="false" customHeight="true" outlineLevel="0" collapsed="false">
      <c r="A43" s="141" t="s">
        <v>246</v>
      </c>
      <c r="B43" s="141"/>
      <c r="C43" s="141"/>
      <c r="D43" s="141"/>
    </row>
    <row r="44" customFormat="false" ht="15" hidden="false" customHeight="true" outlineLevel="0" collapsed="false">
      <c r="A44" s="142" t="str">
        <f aca="false">'Dirty Soda - Built Drinks'!A13</f>
        <v>Sakura Kisses</v>
      </c>
    </row>
    <row r="45" customFormat="false" ht="15" hidden="false" customHeight="true" outlineLevel="0" collapsed="false">
      <c r="A45" s="142" t="str">
        <f aca="false">'Dirty Soda - Built Drinks'!A15</f>
        <v>Catboy Snot</v>
      </c>
      <c r="B45" s="63" t="s">
        <v>1941</v>
      </c>
      <c r="C45" s="63" t="s">
        <v>1903</v>
      </c>
      <c r="D45" s="63" t="str">
        <f aca="false">IF(OR('Dirty Soda - Built Drinks'!M15="",'Dirty Soda - Built Drinks'!M15=0),"—",'Dirty Soda - Built Drinks'!M15)</f>
        <v>Blanco Tequila</v>
      </c>
    </row>
    <row r="46" customFormat="false" ht="15" hidden="false" customHeight="true" outlineLevel="0" collapsed="false">
      <c r="A46" s="143" t="str">
        <f aca="false">'Dirty Soda - Built Drinks'!A16</f>
        <v>Catboy Piss</v>
      </c>
    </row>
    <row r="47" customFormat="false" ht="15" hidden="false" customHeight="true" outlineLevel="0" collapsed="false">
      <c r="A47" s="30" t="s">
        <v>1942</v>
      </c>
    </row>
    <row r="48" customFormat="false" ht="15" hidden="false" customHeight="true" outlineLevel="0" collapsed="false">
      <c r="A48" s="5"/>
    </row>
    <row r="49" customFormat="false" ht="43.5" hidden="false" customHeight="true" outlineLevel="0" collapsed="false">
      <c r="A49" s="144" t="s">
        <v>1943</v>
      </c>
      <c r="B49" s="140"/>
      <c r="C49" s="140"/>
      <c r="D49" s="140"/>
    </row>
    <row r="50" customFormat="false" ht="15" hidden="false" customHeight="true" outlineLevel="0" collapsed="false">
      <c r="A50" s="27" t="s">
        <v>1944</v>
      </c>
      <c r="B50" s="27" t="s">
        <v>246</v>
      </c>
      <c r="C50" s="136" t="s">
        <v>21</v>
      </c>
      <c r="D50" s="27" t="s">
        <v>1902</v>
      </c>
    </row>
    <row r="51" customFormat="false" ht="15" hidden="false" customHeight="true" outlineLevel="0" collapsed="false">
      <c r="A51" s="23" t="str">
        <f aca="false">'Jug Recipes'!A4</f>
        <v>Sunday</v>
      </c>
      <c r="B51" s="63" t="str">
        <f aca="false">'Jug Recipes'!C4</f>
        <v>Cherry Bomb (Cherry Limeade)</v>
      </c>
      <c r="C51" s="92" t="n">
        <f aca="false">'Jug Recipes'!E4</f>
        <v>33</v>
      </c>
      <c r="D51" s="63" t="str">
        <f aca="false">IF(OR('Jug Recipes'!P4="",'Jug Recipes'!P4=0),"—",'Jug Recipes'!P4)</f>
        <v>Vodka</v>
      </c>
    </row>
    <row r="52" customFormat="false" ht="30" hidden="false" customHeight="true" outlineLevel="0" collapsed="false">
      <c r="A52" s="23" t="str">
        <f aca="false">'Jug Recipes'!A5</f>
        <v>Monday</v>
      </c>
      <c r="B52" s="63" t="str">
        <f aca="false">'Jug Recipes'!C5</f>
        <v>Hard Reset (Watermelon-Mint Aqua Fresca)</v>
      </c>
      <c r="C52" s="92" t="n">
        <f aca="false">'Jug Recipes'!E5</f>
        <v>33</v>
      </c>
      <c r="D52" s="63" t="str">
        <f aca="false">IF(OR('Jug Recipes'!P5="",'Jug Recipes'!P5=0),"—",'Jug Recipes'!P5)</f>
        <v>Blanco Tequila</v>
      </c>
    </row>
    <row r="53" customFormat="false" ht="30" hidden="false" customHeight="true" outlineLevel="0" collapsed="false">
      <c r="A53" s="23" t="str">
        <f aca="false">'Jug Recipes'!A6</f>
        <v>Tuesday</v>
      </c>
      <c r="B53" s="63" t="str">
        <f aca="false">'Jug Recipes'!C6</f>
        <v>Smoke Test (Lapsang Souchong Lemonade)</v>
      </c>
      <c r="C53" s="92" t="n">
        <f aca="false">'Jug Recipes'!E6</f>
        <v>33</v>
      </c>
      <c r="D53" s="63" t="str">
        <f aca="false">IF(OR('Jug Recipes'!P6="",'Jug Recipes'!P6=0),"—",'Jug Recipes'!P6)</f>
        <v>Whiskey</v>
      </c>
    </row>
    <row r="54" customFormat="false" ht="57.75" hidden="false" customHeight="true" outlineLevel="0" collapsed="false">
      <c r="A54" s="23" t="str">
        <f aca="false">'Jug Recipes'!A7</f>
        <v>Wednesday</v>
      </c>
      <c r="B54" s="63" t="str">
        <f aca="false">'Jug Recipes'!C7</f>
        <v>Red Flag (Agua de Jamaica)</v>
      </c>
      <c r="C54" s="92" t="n">
        <f aca="false">'Jug Recipes'!E7</f>
        <v>66</v>
      </c>
      <c r="D54" s="63" t="str">
        <f aca="false">IF(OR('Jug Recipes'!P7="",'Jug Recipes'!P7=0),"—",'Jug Recipes'!P7)</f>
        <v>Blanco Tequila</v>
      </c>
    </row>
    <row r="55" customFormat="false" ht="51.75" hidden="false" customHeight="true" outlineLevel="0" collapsed="false">
      <c r="A55" s="23" t="str">
        <f aca="false">'Jug Recipes'!A8</f>
        <v>Thursday</v>
      </c>
      <c r="B55" s="63" t="str">
        <f aca="false">'Jug Recipes'!C8</f>
        <v>Gradient Descent (Malibu Sunrise)</v>
      </c>
      <c r="C55" s="92" t="n">
        <f aca="false">'Jug Recipes'!E8</f>
        <v>33</v>
      </c>
      <c r="D55" s="63" t="str">
        <f aca="false">IF(OR('Jug Recipes'!P8="",'Jug Recipes'!P8=0),"—",'Jug Recipes'!P8)</f>
        <v>Coconut Rum</v>
      </c>
    </row>
    <row r="56" customFormat="false" ht="27.75" hidden="false" customHeight="true" outlineLevel="0" collapsed="false">
      <c r="A56" s="23" t="str">
        <f aca="false">'Jug Recipes'!A9</f>
        <v>Friday</v>
      </c>
      <c r="B56" s="63" t="str">
        <f aca="false">'Jug Recipes'!C9</f>
        <v>Whore-chata</v>
      </c>
      <c r="C56" s="92" t="n">
        <f aca="false">'Jug Recipes'!E9</f>
        <v>33</v>
      </c>
      <c r="D56" s="63" t="str">
        <f aca="false">IF(OR('Jug Recipes'!P9="",'Jug Recipes'!P9=0),"—",'Jug Recipes'!P9)</f>
        <v>Spiced Rum</v>
      </c>
    </row>
    <row r="57" customFormat="false" ht="27.75" hidden="false" customHeight="true" outlineLevel="0" collapsed="false">
      <c r="A57" s="139" t="str">
        <f aca="false">'Jug Recipes'!A10</f>
        <v>Saturday</v>
      </c>
      <c r="B57" s="63" t="str">
        <f aca="false">'Jug Recipes'!C10</f>
        <v>Sleep Mode (Peach Green Iced Tea)</v>
      </c>
      <c r="C57" s="92" t="n">
        <f aca="false">'Jug Recipes'!E10</f>
        <v>33</v>
      </c>
      <c r="D57" s="63" t="str">
        <f aca="false">IF(OR('Jug Recipes'!P10="",'Jug Recipes'!P10=0),"—",'Jug Recipes'!P10)</f>
        <v>Whiskey</v>
      </c>
    </row>
    <row r="58" customFormat="false" ht="15" hidden="false" customHeight="true" outlineLevel="0" collapsed="false">
      <c r="A58" s="139" t="str">
        <f aca="false">'Jug Recipes'!A11</f>
        <v>Sunday (closing)</v>
      </c>
      <c r="B58" s="63" t="str">
        <f aca="false">'Jug Recipes'!C11</f>
        <v>Graceful Shutdown (Peach Green Iced Tea)</v>
      </c>
      <c r="C58" s="92" t="n">
        <f aca="false">'Jug Recipes'!E11</f>
        <v>33</v>
      </c>
      <c r="D58" s="63" t="str">
        <f aca="false">IF(OR('Jug Recipes'!P11="",'Jug Recipes'!P11=0),"—",'Jug Recipes'!P11)</f>
        <v>Whiskey</v>
      </c>
    </row>
    <row r="59" customFormat="false" ht="30" hidden="false" customHeight="true" outlineLevel="0" collapsed="false">
      <c r="A59" s="145"/>
      <c r="B59" s="145"/>
      <c r="C59" s="145"/>
      <c r="D59" s="145"/>
    </row>
    <row r="60" customFormat="false" ht="30" hidden="false" customHeight="true" outlineLevel="0" collapsed="false">
      <c r="A60" s="144" t="s">
        <v>1945</v>
      </c>
    </row>
    <row r="61" customFormat="false" ht="30" hidden="false" customHeight="true" outlineLevel="0" collapsed="false">
      <c r="A61" s="141" t="s">
        <v>246</v>
      </c>
      <c r="B61" s="141"/>
      <c r="C61" s="141"/>
      <c r="D61" s="141"/>
    </row>
    <row r="62" customFormat="false" ht="30" hidden="false" customHeight="true" outlineLevel="0" collapsed="false">
      <c r="A62" s="139" t="str">
        <f aca="false">'Jug Recipes'!C12</f>
        <v>Turtle Soup (Mix of leftover alcohol)</v>
      </c>
    </row>
    <row r="63" customFormat="false" ht="30" hidden="false" customHeight="true" outlineLevel="0" collapsed="false">
      <c r="A63" s="30" t="s">
        <v>1946</v>
      </c>
    </row>
    <row r="64" customFormat="false" ht="30" hidden="false" customHeight="true" outlineLevel="0" collapsed="false">
      <c r="A64" s="4"/>
      <c r="B64" s="4"/>
      <c r="C64" s="4"/>
      <c r="D64" s="4"/>
    </row>
    <row r="65" customFormat="false" ht="30" hidden="false" customHeight="true" outlineLevel="0" collapsed="false">
      <c r="A65" s="4" t="s">
        <v>1947</v>
      </c>
      <c r="B65" s="4"/>
      <c r="C65" s="4"/>
      <c r="D65" s="4"/>
    </row>
    <row r="66" customFormat="false" ht="30" hidden="false" customHeight="true" outlineLevel="0" collapsed="false">
      <c r="A66" s="137"/>
      <c r="B66" s="137"/>
      <c r="C66" s="137"/>
      <c r="D66" s="137"/>
    </row>
    <row r="67" customFormat="false" ht="30" hidden="false" customHeight="true" outlineLevel="0" collapsed="false">
      <c r="A67" s="145" t="s">
        <v>1948</v>
      </c>
      <c r="B67" s="145"/>
      <c r="C67" s="145"/>
      <c r="D67" s="145"/>
    </row>
    <row r="68" customFormat="false" ht="15" hidden="false" customHeight="true" outlineLevel="0" collapsed="false">
      <c r="A68" s="4" t="s">
        <v>1949</v>
      </c>
      <c r="B68" s="4"/>
      <c r="C68" s="4"/>
      <c r="D68" s="4"/>
    </row>
    <row r="69" customFormat="false" ht="25.5" hidden="false" customHeight="true" outlineLevel="0" collapsed="false">
      <c r="A69" s="4" t="s">
        <v>1950</v>
      </c>
      <c r="B69" s="4"/>
      <c r="C69" s="4"/>
      <c r="D69" s="4"/>
    </row>
    <row r="70" customFormat="false" ht="15" hidden="false" customHeight="true" outlineLevel="0" collapsed="false">
      <c r="A70" s="4" t="s">
        <v>1951</v>
      </c>
      <c r="B70" s="4"/>
      <c r="C70" s="4"/>
      <c r="D70" s="4"/>
    </row>
    <row r="71" customFormat="false" ht="15" hidden="false" customHeight="true" outlineLevel="0" collapsed="false">
      <c r="A71" s="4" t="s">
        <v>1952</v>
      </c>
      <c r="B71" s="4"/>
      <c r="C71" s="4"/>
      <c r="D71" s="4"/>
    </row>
    <row r="72" customFormat="false" ht="37.5" hidden="false" customHeight="true" outlineLevel="0" collapsed="false">
      <c r="A72" s="6" t="s">
        <v>1953</v>
      </c>
    </row>
    <row r="73" customFormat="false" ht="25.5" hidden="false" customHeight="true" outlineLevel="0" collapsed="false">
      <c r="A73" s="6" t="s">
        <v>1954</v>
      </c>
    </row>
    <row r="74" customFormat="false" ht="25.5" hidden="false" customHeight="true" outlineLevel="0" collapsed="false">
      <c r="A74" s="6" t="s">
        <v>1955</v>
      </c>
    </row>
    <row r="75" customFormat="false" ht="15" hidden="false" customHeight="true" outlineLevel="0" collapsed="false">
      <c r="A75" s="6" t="s">
        <v>1956</v>
      </c>
    </row>
    <row r="77" customFormat="false" ht="15" hidden="false" customHeight="false" outlineLevel="0" collapsed="false">
      <c r="A77" s="26" t="s">
        <v>1957</v>
      </c>
      <c r="B77" s="26"/>
      <c r="C77" s="26"/>
      <c r="D77" s="26"/>
    </row>
    <row r="78" customFormat="false" ht="15" hidden="false" customHeight="false" outlineLevel="0" collapsed="false">
      <c r="A78" s="1" t="s">
        <v>246</v>
      </c>
      <c r="B78" s="1" t="s">
        <v>1958</v>
      </c>
      <c r="C78" s="1" t="s">
        <v>1959</v>
      </c>
    </row>
    <row r="79" customFormat="false" ht="15" hidden="false" customHeight="false" outlineLevel="0" collapsed="false">
      <c r="A79" s="1" t="str">
        <f aca="false">'Dirty Soda - Built Drinks'!A28</f>
        <v>Vodka Shot</v>
      </c>
      <c r="B79" s="1" t="s">
        <v>1960</v>
      </c>
      <c r="C79" s="1" t="s">
        <v>1961</v>
      </c>
    </row>
    <row r="80" customFormat="false" ht="15" hidden="false" customHeight="false" outlineLevel="0" collapsed="false">
      <c r="A80" s="1" t="str">
        <f aca="false">'Dirty Soda - Built Drinks'!A29</f>
        <v>Vodka Cranberry</v>
      </c>
      <c r="B80" s="1" t="s">
        <v>1962</v>
      </c>
      <c r="C80" s="1" t="s">
        <v>1963</v>
      </c>
    </row>
    <row r="81" customFormat="false" ht="15" hidden="false" customHeight="false" outlineLevel="0" collapsed="false">
      <c r="A81" s="1" t="str">
        <f aca="false">'Dirty Soda - Built Drinks'!A30</f>
        <v>Screwdriver</v>
      </c>
      <c r="B81" s="1" t="s">
        <v>1964</v>
      </c>
      <c r="C81" s="1" t="s">
        <v>1965</v>
      </c>
    </row>
    <row r="82" customFormat="false" ht="15" hidden="false" customHeight="false" outlineLevel="0" collapsed="false">
      <c r="A82" s="1" t="str">
        <f aca="false">'Dirty Soda - Built Drinks'!A31</f>
        <v>Vodka Red Bull</v>
      </c>
      <c r="B82" s="1" t="s">
        <v>1966</v>
      </c>
      <c r="C82" s="1" t="s">
        <v>1967</v>
      </c>
    </row>
    <row r="83" customFormat="false" ht="15" hidden="false" customHeight="false" outlineLevel="0" collapsed="false">
      <c r="A83" s="1" t="str">
        <f aca="false">'Dirty Soda - Built Drinks'!A32</f>
        <v>Vodka Lemonade</v>
      </c>
      <c r="B83" s="1" t="s">
        <v>1968</v>
      </c>
      <c r="C83" s="1" t="s">
        <v>1969</v>
      </c>
    </row>
    <row r="84" customFormat="false" ht="15" hidden="false" customHeight="false" outlineLevel="0" collapsed="false">
      <c r="A84" s="1" t="str">
        <f aca="false">'Dirty Soda - Built Drinks'!A33</f>
        <v>Vodka Soda</v>
      </c>
      <c r="B84" s="1" t="s">
        <v>1970</v>
      </c>
      <c r="C84" s="1" t="s">
        <v>1971</v>
      </c>
    </row>
    <row r="85" customFormat="false" ht="15" hidden="false" customHeight="false" outlineLevel="0" collapsed="false">
      <c r="A85" s="26" t="s">
        <v>1972</v>
      </c>
      <c r="B85" s="26"/>
      <c r="C85" s="26"/>
      <c r="D85" s="26"/>
    </row>
  </sheetData>
  <mergeCells count="14">
    <mergeCell ref="A3:D3"/>
    <mergeCell ref="A43:D43"/>
    <mergeCell ref="A59:D59"/>
    <mergeCell ref="A61:D61"/>
    <mergeCell ref="A64:D64"/>
    <mergeCell ref="A65:D65"/>
    <mergeCell ref="A66:D66"/>
    <mergeCell ref="A67:D67"/>
    <mergeCell ref="A68:D68"/>
    <mergeCell ref="A69:D69"/>
    <mergeCell ref="A70:D70"/>
    <mergeCell ref="A71:D71"/>
    <mergeCell ref="A77:D77"/>
    <mergeCell ref="A85:D8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25" colorId="64" zoomScale="100" zoomScaleNormal="100" zoomScalePageLayoutView="100" workbookViewId="0">
      <selection pane="topLeft" activeCell="B10" activeCellId="0" sqref="B10"/>
    </sheetView>
  </sheetViews>
  <sheetFormatPr defaultColWidth="8.4296875" defaultRowHeight="15" zeroHeight="false" outlineLevelRow="0" outlineLevelCol="0"/>
  <cols>
    <col collapsed="false" customWidth="true" hidden="false" outlineLevel="0" max="1" min="1" style="1" width="34"/>
    <col collapsed="false" customWidth="true" hidden="false" outlineLevel="0" max="2" min="2" style="1" width="9"/>
    <col collapsed="false" customWidth="true" hidden="false" outlineLevel="0" max="3" min="3" style="1" width="14"/>
    <col collapsed="false" customWidth="true" hidden="false" outlineLevel="0" max="4" min="4" style="1" width="11"/>
    <col collapsed="false" customWidth="true" hidden="false" outlineLevel="0" max="5" min="5" style="1" width="12"/>
    <col collapsed="false" customWidth="true" hidden="false" outlineLevel="0" max="6" min="6" style="1" width="62"/>
  </cols>
  <sheetData>
    <row r="1" customFormat="false" ht="17.25" hidden="false" customHeight="true" outlineLevel="0" collapsed="false">
      <c r="A1" s="31" t="s">
        <v>1973</v>
      </c>
      <c r="B1" s="31"/>
      <c r="C1" s="31"/>
      <c r="D1" s="31"/>
      <c r="E1" s="31"/>
      <c r="F1" s="31"/>
    </row>
    <row r="3" customFormat="false" ht="39.75" hidden="false" customHeight="true" outlineLevel="0" collapsed="false">
      <c r="A3" s="4" t="s">
        <v>1974</v>
      </c>
      <c r="B3" s="4"/>
      <c r="C3" s="4"/>
      <c r="D3" s="4"/>
      <c r="E3" s="4"/>
      <c r="F3" s="4"/>
    </row>
    <row r="5" customFormat="false" ht="15" hidden="false" customHeight="true" outlineLevel="0" collapsed="false">
      <c r="A5" s="23" t="s">
        <v>1975</v>
      </c>
    </row>
    <row r="6" customFormat="false" ht="24" hidden="false" customHeight="true" outlineLevel="0" collapsed="false">
      <c r="A6" s="33" t="s">
        <v>340</v>
      </c>
      <c r="B6" s="33" t="s">
        <v>296</v>
      </c>
      <c r="C6" s="33" t="s">
        <v>297</v>
      </c>
      <c r="D6" s="33" t="s">
        <v>1328</v>
      </c>
      <c r="E6" s="33" t="s">
        <v>215</v>
      </c>
      <c r="F6" s="33" t="s">
        <v>1976</v>
      </c>
    </row>
    <row r="7" customFormat="false" ht="31.5" hidden="false" customHeight="true" outlineLevel="0" collapsed="false">
      <c r="A7" s="34" t="s">
        <v>1977</v>
      </c>
      <c r="B7" s="146" t="n">
        <v>9</v>
      </c>
      <c r="C7" s="37" t="s">
        <v>1672</v>
      </c>
      <c r="D7" s="147" t="n">
        <f aca="false">Assumptions!$B$237</f>
        <v>1.5</v>
      </c>
      <c r="E7" s="38" t="n">
        <f aca="false">B7*D7</f>
        <v>13.5</v>
      </c>
      <c r="F7" s="39" t="s">
        <v>1978</v>
      </c>
    </row>
    <row r="8" customFormat="false" ht="31.5" hidden="false" customHeight="true" outlineLevel="0" collapsed="false">
      <c r="A8" s="34" t="s">
        <v>1979</v>
      </c>
      <c r="B8" s="146" t="n">
        <v>17</v>
      </c>
      <c r="C8" s="37" t="s">
        <v>1672</v>
      </c>
      <c r="D8" s="147" t="n">
        <f aca="false">Assumptions!$B$236</f>
        <v>1.35</v>
      </c>
      <c r="E8" s="38" t="n">
        <f aca="false">B8*D8</f>
        <v>22.95</v>
      </c>
      <c r="F8" s="39" t="str">
        <f aca="false">"ON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ON TOP of the 77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v>
      </c>
    </row>
    <row r="9" customFormat="false" ht="31.5" hidden="false" customHeight="true" outlineLevel="0" collapsed="false">
      <c r="A9" s="34" t="s">
        <v>1980</v>
      </c>
      <c r="B9" s="146" t="n">
        <v>24</v>
      </c>
      <c r="C9" s="37" t="s">
        <v>1544</v>
      </c>
      <c r="D9" s="147" t="n">
        <v>1.7</v>
      </c>
      <c r="E9" s="38" t="n">
        <f aca="false">B9*D9</f>
        <v>40.8</v>
      </c>
      <c r="F9" s="39" t="s">
        <v>1981</v>
      </c>
    </row>
    <row r="10" customFormat="false" ht="31.5" hidden="false" customHeight="true" outlineLevel="0" collapsed="false">
      <c r="A10" s="34" t="s">
        <v>1982</v>
      </c>
      <c r="B10" s="146" t="n">
        <v>1</v>
      </c>
      <c r="C10" s="37" t="s">
        <v>1983</v>
      </c>
      <c r="D10" s="147" t="n">
        <v>12</v>
      </c>
      <c r="E10" s="38" t="n">
        <f aca="false">B10*D10</f>
        <v>12</v>
      </c>
      <c r="F10" s="39" t="s">
        <v>1984</v>
      </c>
    </row>
    <row r="12" customFormat="false" ht="15" hidden="false" customHeight="true" outlineLevel="0" collapsed="false">
      <c r="A12" s="23" t="s">
        <v>1985</v>
      </c>
    </row>
    <row r="13" customFormat="false" ht="24" hidden="false" customHeight="true" outlineLevel="0" collapsed="false">
      <c r="A13" s="33" t="s">
        <v>340</v>
      </c>
      <c r="B13" s="33" t="s">
        <v>296</v>
      </c>
      <c r="C13" s="33" t="s">
        <v>297</v>
      </c>
      <c r="D13" s="33" t="s">
        <v>1328</v>
      </c>
      <c r="E13" s="33" t="s">
        <v>215</v>
      </c>
      <c r="F13" s="33" t="s">
        <v>1976</v>
      </c>
    </row>
    <row r="14" customFormat="false" ht="31.5" hidden="false" customHeight="true" outlineLevel="0" collapsed="false">
      <c r="A14" s="34" t="s">
        <v>1986</v>
      </c>
      <c r="B14" s="146" t="n">
        <f aca="false">48+Assumptions!$B$305*24</f>
        <v>72</v>
      </c>
      <c r="C14" s="37" t="s">
        <v>1544</v>
      </c>
      <c r="D14" s="147" t="n">
        <v>1.55</v>
      </c>
      <c r="E14" s="38" t="n">
        <f aca="false">B14*D14</f>
        <v>111.6</v>
      </c>
      <c r="F14" s="40" t="s">
        <v>1987</v>
      </c>
    </row>
    <row r="15" customFormat="false" ht="31.5" hidden="false" customHeight="true" outlineLevel="0" collapsed="false">
      <c r="A15" s="78" t="s">
        <v>1988</v>
      </c>
      <c r="B15" s="146" t="n">
        <f aca="false">CEILING(Assumptions!$B$169/Assumptions!$B$171/4,1)</f>
        <v>7</v>
      </c>
      <c r="C15" s="37" t="s">
        <v>1989</v>
      </c>
      <c r="D15" s="147" t="n">
        <f aca="false">Assumptions!$B$172</f>
        <v>9.99</v>
      </c>
      <c r="E15" s="38" t="n">
        <f aca="false">B15*D15</f>
        <v>69.93</v>
      </c>
      <c r="F15" s="40" t="s">
        <v>1990</v>
      </c>
    </row>
    <row r="16" customFormat="false" ht="31.5" hidden="false" customHeight="true" outlineLevel="0" collapsed="false">
      <c r="A16" s="34" t="s">
        <v>1016</v>
      </c>
      <c r="B16" s="146" t="n">
        <v>36</v>
      </c>
      <c r="C16" s="37" t="s">
        <v>1544</v>
      </c>
      <c r="D16" s="147" t="n">
        <v>1.25</v>
      </c>
      <c r="E16" s="38" t="n">
        <f aca="false">B16*D16</f>
        <v>45</v>
      </c>
      <c r="F16" s="40" t="s">
        <v>1991</v>
      </c>
    </row>
    <row r="18" customFormat="false" ht="15" hidden="false" customHeight="true" outlineLevel="0" collapsed="false">
      <c r="A18" s="41" t="s">
        <v>1992</v>
      </c>
      <c r="B18" s="41"/>
      <c r="C18" s="41"/>
      <c r="D18" s="41"/>
      <c r="E18" s="45" t="n">
        <f aca="false">SUM(E7:E10)+SUM(E14:E16)</f>
        <v>315.78</v>
      </c>
      <c r="F18" s="41"/>
    </row>
    <row r="20" customFormat="false" ht="15" hidden="false" customHeight="true" outlineLevel="0" collapsed="false">
      <c r="A20" s="23" t="s">
        <v>1993</v>
      </c>
    </row>
    <row r="21" customFormat="false" ht="24" hidden="false" customHeight="true" outlineLevel="0" collapsed="false">
      <c r="A21" s="33" t="s">
        <v>340</v>
      </c>
      <c r="B21" s="33" t="s">
        <v>296</v>
      </c>
      <c r="C21" s="33" t="s">
        <v>297</v>
      </c>
      <c r="D21" s="33" t="s">
        <v>1328</v>
      </c>
      <c r="E21" s="33" t="s">
        <v>215</v>
      </c>
      <c r="F21" s="33" t="s">
        <v>1976</v>
      </c>
    </row>
    <row r="22" customFormat="false" ht="39.75" hidden="false" customHeight="true" outlineLevel="0" collapsed="false">
      <c r="A22" s="148" t="s">
        <v>1994</v>
      </c>
      <c r="B22" s="149" t="n">
        <f aca="false">Assumptions!$B$160</f>
        <v>120</v>
      </c>
      <c r="C22" s="150" t="s">
        <v>1661</v>
      </c>
      <c r="D22" s="151" t="n">
        <v>0</v>
      </c>
      <c r="E22" s="151" t="n">
        <v>0</v>
      </c>
      <c r="F22" s="152" t="s">
        <v>1995</v>
      </c>
    </row>
    <row r="23" customFormat="false" ht="39.75" hidden="false" customHeight="true" outlineLevel="0" collapsed="false">
      <c r="A23" s="148" t="s">
        <v>1996</v>
      </c>
      <c r="B23" s="149" t="n">
        <f aca="false">Assumptions!$B$209</f>
        <v>30</v>
      </c>
      <c r="C23" s="150" t="s">
        <v>1997</v>
      </c>
      <c r="D23" s="151" t="n">
        <v>0</v>
      </c>
      <c r="E23" s="151" t="n">
        <v>0</v>
      </c>
      <c r="F23" s="153" t="s">
        <v>1998</v>
      </c>
    </row>
    <row r="24" customFormat="false" ht="39.75" hidden="false" customHeight="true" outlineLevel="0" collapsed="false">
      <c r="A24" s="148" t="s">
        <v>1925</v>
      </c>
      <c r="B24" s="149" t="n">
        <v>0</v>
      </c>
      <c r="C24" s="150" t="s">
        <v>120</v>
      </c>
      <c r="D24" s="151" t="n">
        <v>0</v>
      </c>
      <c r="E24" s="151" t="n">
        <v>0</v>
      </c>
      <c r="F24" s="153" t="s">
        <v>1999</v>
      </c>
    </row>
    <row r="25" customFormat="false" ht="124.5" hidden="false" customHeight="true" outlineLevel="0" collapsed="false">
      <c r="A25" s="148" t="s">
        <v>2000</v>
      </c>
      <c r="B25" s="149" t="n">
        <f aca="false">Assumptions!$B$253*Assumptions!$B$254*128/8</f>
        <v>120</v>
      </c>
      <c r="C25" s="150" t="s">
        <v>1661</v>
      </c>
      <c r="D25" s="151" t="n">
        <v>0</v>
      </c>
      <c r="E25" s="151" t="n">
        <v>0</v>
      </c>
      <c r="F25" s="153" t="s">
        <v>2001</v>
      </c>
    </row>
    <row r="26" customFormat="false" ht="27.75" hidden="false" customHeight="true" outlineLevel="0" collapsed="false">
      <c r="A26" s="148" t="s">
        <v>2002</v>
      </c>
    </row>
    <row r="27" customFormat="false" ht="50.25" hidden="false" customHeight="true" outlineLevel="0" collapsed="false">
      <c r="A27" s="148" t="s">
        <v>2003</v>
      </c>
      <c r="B27" s="149" t="n">
        <v>0</v>
      </c>
      <c r="C27" s="150" t="s">
        <v>120</v>
      </c>
      <c r="D27" s="151" t="n">
        <v>0</v>
      </c>
      <c r="E27" s="151" t="n">
        <v>0</v>
      </c>
      <c r="F27" s="153" t="s">
        <v>2004</v>
      </c>
    </row>
    <row r="28" customFormat="false" ht="75" hidden="false" customHeight="true" outlineLevel="0" collapsed="false">
      <c r="A28" s="148" t="s">
        <v>2005</v>
      </c>
      <c r="B28" s="149" t="n">
        <v>0</v>
      </c>
      <c r="C28" s="150" t="s">
        <v>120</v>
      </c>
      <c r="D28" s="151" t="n">
        <v>0</v>
      </c>
      <c r="E28" s="151" t="n">
        <v>0</v>
      </c>
      <c r="F28" s="153" t="s">
        <v>2006</v>
      </c>
    </row>
    <row r="29" customFormat="false" ht="15" hidden="false" customHeight="true" outlineLevel="0" collapsed="false">
      <c r="A29" s="32" t="s">
        <v>2007</v>
      </c>
      <c r="B29" s="32"/>
      <c r="C29" s="32"/>
      <c r="D29" s="32"/>
      <c r="E29" s="32"/>
      <c r="F29" s="32"/>
    </row>
  </sheetData>
  <mergeCells count="3">
    <mergeCell ref="A1:F1"/>
    <mergeCell ref="A3:F3"/>
    <mergeCell ref="A29:F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false" showRowColHeaders="true" showZeros="true" rightToLeft="false" tabSelected="false" showOutlineSymbols="true" defaultGridColor="true" view="normal" topLeftCell="F1" colorId="64" zoomScale="100" zoomScaleNormal="100" zoomScalePageLayoutView="100" workbookViewId="0">
      <selection pane="topLeft" activeCell="A33" activeCellId="0" sqref="A33"/>
    </sheetView>
  </sheetViews>
  <sheetFormatPr defaultColWidth="8.4296875" defaultRowHeight="15" zeroHeight="false" outlineLevelRow="0" outlineLevelCol="0"/>
  <cols>
    <col collapsed="false" customWidth="true" hidden="false" outlineLevel="0" max="1" min="1" style="1" width="34"/>
    <col collapsed="false" customWidth="true" hidden="false" outlineLevel="0" max="2" min="2" style="1" width="48"/>
    <col collapsed="false" customWidth="true" hidden="false" outlineLevel="0" max="3" min="3" style="1" width="18"/>
  </cols>
  <sheetData>
    <row r="1" customFormat="false" ht="17.25" hidden="false" customHeight="true" outlineLevel="0" collapsed="false">
      <c r="A1" s="31" t="s">
        <v>2008</v>
      </c>
      <c r="B1" s="31"/>
      <c r="C1" s="31"/>
    </row>
    <row r="3" customFormat="false" ht="15" hidden="false" customHeight="true" outlineLevel="0" collapsed="false">
      <c r="A3" s="4" t="s">
        <v>2009</v>
      </c>
      <c r="B3" s="4"/>
      <c r="C3" s="4"/>
    </row>
    <row r="5" customFormat="false" ht="15" hidden="false" customHeight="true" outlineLevel="0" collapsed="false">
      <c r="A5" s="23" t="s">
        <v>2010</v>
      </c>
    </row>
    <row r="6" customFormat="false" ht="15" hidden="false" customHeight="true" outlineLevel="0" collapsed="false">
      <c r="A6" s="33" t="s">
        <v>246</v>
      </c>
      <c r="B6" s="33" t="s">
        <v>2011</v>
      </c>
      <c r="C6" s="33" t="s">
        <v>1902</v>
      </c>
    </row>
    <row r="7" customFormat="false" ht="25.5" hidden="false" customHeight="true" outlineLevel="0" collapsed="false">
      <c r="A7" s="154" t="str">
        <f aca="false">'Dirty Soda - Built Drinks'!A5</f>
        <v>Vanilla Cherry Grove</v>
      </c>
      <c r="B7" s="154" t="s">
        <v>2012</v>
      </c>
      <c r="C7" s="39" t="str">
        <f aca="false">'Dirty Soda - Built Drinks'!M5</f>
        <v>Bourbon</v>
      </c>
    </row>
    <row r="8" customFormat="false" ht="25.5" hidden="false" customHeight="true" outlineLevel="0" collapsed="false">
      <c r="A8" s="154" t="str">
        <f aca="false">'Dirty Soda - Built Drinks'!A6</f>
        <v>Orange Cream-sicle</v>
      </c>
      <c r="B8" s="154" t="s">
        <v>2013</v>
      </c>
      <c r="C8" s="39" t="str">
        <f aca="false">'Dirty Soda - Built Drinks'!M6</f>
        <v>Vodka</v>
      </c>
    </row>
    <row r="9" customFormat="false" ht="25.5" hidden="false" customHeight="true" outlineLevel="0" collapsed="false">
      <c r="A9" s="154" t="str">
        <f aca="false">'Dirty Soda - Built Drinks'!A8</f>
        <v>A Ginger's Pickle (Big Dill Energy)</v>
      </c>
      <c r="B9" s="154" t="s">
        <v>2014</v>
      </c>
      <c r="C9" s="39" t="str">
        <f aca="false">'Dirty Soda - Built Drinks'!M8</f>
        <v>Whiskey</v>
      </c>
    </row>
    <row r="10" customFormat="false" ht="25.5" hidden="false" customHeight="true" outlineLevel="0" collapsed="false">
      <c r="A10" s="154" t="str">
        <f aca="false">'Dirty Soda - Built Drinks'!A9</f>
        <v>The Dr's Cream</v>
      </c>
      <c r="B10" s="154" t="s">
        <v>2015</v>
      </c>
      <c r="C10" s="39" t="str">
        <f aca="false">'Dirty Soda - Built Drinks'!M9</f>
        <v>Bourbon</v>
      </c>
    </row>
    <row r="11" customFormat="false" ht="25.5" hidden="false" customHeight="true" outlineLevel="0" collapsed="false">
      <c r="A11" s="154" t="str">
        <f aca="false">'Dirty Soda - Built Drinks'!A10</f>
        <v>The Dr's Peach Exam</v>
      </c>
      <c r="B11" s="154" t="s">
        <v>2016</v>
      </c>
      <c r="C11" s="39" t="str">
        <f aca="false">'Dirty Soda - Built Drinks'!M10</f>
        <v>Whiskey</v>
      </c>
    </row>
    <row r="12" customFormat="false" ht="25.5" hidden="false" customHeight="true" outlineLevel="0" collapsed="false">
      <c r="A12" s="154" t="str">
        <f aca="false">'Dirty Soda - Built Drinks'!A12</f>
        <v>Thirst Trap</v>
      </c>
      <c r="B12" s="154" t="s">
        <v>2017</v>
      </c>
      <c r="C12" s="39" t="str">
        <f aca="false">'Dirty Soda - Built Drinks'!M12</f>
        <v>Blanco Tequila</v>
      </c>
    </row>
    <row r="13" customFormat="false" ht="25.5" hidden="false" customHeight="true" outlineLevel="0" collapsed="false">
      <c r="A13" s="154" t="str">
        <f aca="false">'Dirty Soda - Built Drinks'!A19</f>
        <v>Root Access</v>
      </c>
      <c r="B13" s="154" t="s">
        <v>2018</v>
      </c>
      <c r="C13" s="39" t="str">
        <f aca="false">IF(OR('Dirty Soda - Built Drinks'!M19="",'Dirty Soda - Built Drinks'!M19=0),"—",'Dirty Soda - Built Drinks'!M19)</f>
        <v>Spiced Rum</v>
      </c>
    </row>
    <row r="14" customFormat="false" ht="25.5" hidden="false" customHeight="true" outlineLevel="0" collapsed="false">
      <c r="A14" s="154" t="str">
        <f aca="false">'Dirty Soda - Built Drinks'!A17</f>
        <v>Shirley Temple of Doom</v>
      </c>
      <c r="B14" s="154" t="s">
        <v>2019</v>
      </c>
      <c r="C14" s="39" t="str">
        <f aca="false">'Dirty Soda - Built Drinks'!M17</f>
        <v>Vodka</v>
      </c>
    </row>
    <row r="15" customFormat="false" ht="25.5" hidden="false" customHeight="true" outlineLevel="0" collapsed="false">
      <c r="A15" s="154" t="str">
        <f aca="false">'Dirty Soda - Built Drinks'!A18</f>
        <v>Shirley Mule</v>
      </c>
      <c r="B15" s="154" t="s">
        <v>2020</v>
      </c>
      <c r="C15" s="39" t="str">
        <f aca="false">'Dirty Soda - Built Drinks'!M18</f>
        <v>Vodka</v>
      </c>
    </row>
    <row r="16" customFormat="false" ht="25.5" hidden="false" customHeight="true" outlineLevel="0" collapsed="false">
      <c r="A16" s="154" t="str">
        <f aca="false">'Dirty Soda - Built Drinks'!A7</f>
        <v>Watermelon Sugar High</v>
      </c>
      <c r="B16" s="154" t="s">
        <v>2021</v>
      </c>
      <c r="C16" s="39" t="str">
        <f aca="false">'Dirty Soda - Built Drinks'!M7</f>
        <v>Blanco Tequila</v>
      </c>
    </row>
    <row r="17" customFormat="false" ht="25.5" hidden="false" customHeight="true" outlineLevel="0" collapsed="false">
      <c r="A17" s="154" t="str">
        <f aca="false">'Dirty Soda - Built Drinks'!A3</f>
        <v>Tang Dynasty</v>
      </c>
      <c r="B17" s="154" t="s">
        <v>2022</v>
      </c>
      <c r="C17" s="39" t="str">
        <f aca="false">'Dirty Soda - Built Drinks'!M3</f>
        <v>Vodka</v>
      </c>
    </row>
    <row r="18" customFormat="false" ht="25.5" hidden="false" customHeight="true" outlineLevel="0" collapsed="false">
      <c r="A18" s="154" t="str">
        <f aca="false">'Dirty Soda - Built Drinks'!A11</f>
        <v>SCOBY Mule</v>
      </c>
      <c r="B18" s="154" t="s">
        <v>2023</v>
      </c>
      <c r="C18" s="39" t="str">
        <f aca="false">'Dirty Soda - Built Drinks'!M11</f>
        <v>Vodka</v>
      </c>
      <c r="D18" s="23" t="s">
        <v>2024</v>
      </c>
      <c r="E18" s="63"/>
      <c r="F18" s="1"/>
    </row>
    <row r="19" customFormat="false" ht="25.5" hidden="false" customHeight="true" outlineLevel="0" collapsed="false">
      <c r="A19" s="154" t="str">
        <f aca="false">'Dirty Soda - Built Drinks'!A14</f>
        <v>Clear Cache</v>
      </c>
      <c r="B19" s="154" t="s">
        <v>2025</v>
      </c>
      <c r="C19" s="39" t="str">
        <f aca="false">'Dirty Soda - Built Drinks'!M14</f>
        <v>Bourbon</v>
      </c>
    </row>
    <row r="20" customFormat="false" ht="15" hidden="false" customHeight="true" outlineLevel="0" collapsed="false">
      <c r="A20" s="73" t="str">
        <f aca="false">'Dirty Soda - Built Drinks'!A23</f>
        <v>Guavascript</v>
      </c>
      <c r="B20" s="155" t="s">
        <v>2026</v>
      </c>
      <c r="C20" s="156" t="str">
        <f aca="false">'Dirty Soda - Built Drinks'!M23&amp;" / Vodka"</f>
        <v>Blanco Tequila / Vodka</v>
      </c>
      <c r="D20" s="1" t="s">
        <v>2027</v>
      </c>
    </row>
    <row r="21" customFormat="false" ht="15" hidden="false" customHeight="true" outlineLevel="0" collapsed="false">
      <c r="A21" s="73" t="str">
        <f aca="false">'Dirty Soda - Built Drinks'!A22</f>
        <v>Margarita</v>
      </c>
      <c r="B21" s="34" t="s">
        <v>2028</v>
      </c>
      <c r="C21" s="156" t="str">
        <f aca="false">'Dirty Soda - Built Drinks'!M22&amp;" — IN THE BUILD, not optional"</f>
        <v>Blanco Tequila — IN THE BUILD, not optional</v>
      </c>
    </row>
    <row r="22" customFormat="false" ht="15" hidden="false" customHeight="true" outlineLevel="0" collapsed="false">
      <c r="A22" s="1" t="str">
        <f aca="false">'Dirty Soda - Built Drinks'!A20</f>
        <v>Paloma</v>
      </c>
      <c r="B22" s="1" t="s">
        <v>2029</v>
      </c>
      <c r="C22" s="1" t="str">
        <f aca="false">'Dirty Soda - Built Drinks'!M20&amp;" / Vodka"</f>
        <v>Blanco Tequila / Vodka</v>
      </c>
      <c r="D22" s="1" t="s">
        <v>2030</v>
      </c>
    </row>
    <row r="23" customFormat="false" ht="25.5" hidden="false" customHeight="true" outlineLevel="0" collapsed="false">
      <c r="A23" s="23" t="s">
        <v>1930</v>
      </c>
    </row>
    <row r="24" customFormat="false" ht="25.5" hidden="false" customHeight="true" outlineLevel="0" collapsed="false">
      <c r="A24" s="33" t="s">
        <v>246</v>
      </c>
      <c r="B24" s="33" t="s">
        <v>2011</v>
      </c>
      <c r="C24" s="33" t="s">
        <v>1902</v>
      </c>
    </row>
    <row r="25" customFormat="false" ht="15" hidden="false" customHeight="true" outlineLevel="0" collapsed="false">
      <c r="A25" s="157" t="s">
        <v>2031</v>
      </c>
      <c r="B25" s="158" t="s">
        <v>2032</v>
      </c>
      <c r="C25" s="153"/>
    </row>
    <row r="26" customFormat="false" ht="15" hidden="false" customHeight="true" outlineLevel="0" collapsed="false">
      <c r="A26" s="157" t="s">
        <v>2033</v>
      </c>
      <c r="B26" s="159" t="s">
        <v>2034</v>
      </c>
      <c r="C26" s="153"/>
    </row>
    <row r="27" customFormat="false" ht="15" hidden="false" customHeight="true" outlineLevel="0" collapsed="false">
      <c r="A27" s="157" t="s">
        <v>2035</v>
      </c>
      <c r="B27" s="159" t="s">
        <v>2036</v>
      </c>
      <c r="C27" s="153"/>
    </row>
    <row r="28" customFormat="false" ht="15" hidden="false" customHeight="true" outlineLevel="0" collapsed="false">
      <c r="A28" s="157" t="s">
        <v>2037</v>
      </c>
      <c r="B28" s="159" t="s">
        <v>2038</v>
      </c>
      <c r="C28" s="153"/>
    </row>
    <row r="29" customFormat="false" ht="25.5" hidden="false" customHeight="true" outlineLevel="0" collapsed="false">
      <c r="A29" s="157" t="s">
        <v>1920</v>
      </c>
      <c r="B29" s="159" t="s">
        <v>2039</v>
      </c>
      <c r="C29" s="153"/>
    </row>
    <row r="30" customFormat="false" ht="25.5" hidden="false" customHeight="true" outlineLevel="0" collapsed="false">
      <c r="A30" s="157" t="s">
        <v>1923</v>
      </c>
      <c r="B30" s="159" t="s">
        <v>2040</v>
      </c>
      <c r="C30" s="153"/>
    </row>
    <row r="31" customFormat="false" ht="25.5" hidden="false" customHeight="true" outlineLevel="0" collapsed="false">
      <c r="A31" s="157" t="s">
        <v>331</v>
      </c>
      <c r="B31" s="159" t="s">
        <v>2041</v>
      </c>
      <c r="C31" s="153"/>
    </row>
    <row r="32" customFormat="false" ht="25.5" hidden="false" customHeight="true" outlineLevel="0" collapsed="false">
      <c r="A32" s="160" t="s">
        <v>107</v>
      </c>
      <c r="B32" s="156" t="s">
        <v>2042</v>
      </c>
      <c r="C32" s="156" t="s">
        <v>60</v>
      </c>
    </row>
    <row r="33" customFormat="false" ht="25.5" hidden="false" customHeight="true" outlineLevel="0" collapsed="false">
      <c r="A33" s="154" t="s">
        <v>42</v>
      </c>
      <c r="B33" s="161" t="s">
        <v>2043</v>
      </c>
      <c r="C33" s="39" t="s">
        <v>2044</v>
      </c>
    </row>
    <row r="34" customFormat="false" ht="15" hidden="false" customHeight="true" outlineLevel="0" collapsed="false"/>
    <row r="35" customFormat="false" ht="15" hidden="false" customHeight="true" outlineLevel="0" collapsed="false">
      <c r="A35" s="23" t="s">
        <v>2045</v>
      </c>
    </row>
    <row r="36" customFormat="false" ht="15" hidden="false" customHeight="true" outlineLevel="0" collapsed="false">
      <c r="A36" s="33" t="s">
        <v>246</v>
      </c>
      <c r="B36" s="33" t="s">
        <v>2011</v>
      </c>
      <c r="C36" s="33" t="s">
        <v>1902</v>
      </c>
    </row>
    <row r="37" customFormat="false" ht="25.5" hidden="false" customHeight="true" outlineLevel="0" collapsed="false">
      <c r="A37" s="162" t="str">
        <f aca="false">'Beverage Lines'!A6</f>
        <v>Cider</v>
      </c>
      <c r="B37" s="154" t="s">
        <v>1269</v>
      </c>
      <c r="C37" s="154" t="s">
        <v>120</v>
      </c>
    </row>
    <row r="38" customFormat="false" ht="25.5" hidden="false" customHeight="true" outlineLevel="0" collapsed="false">
      <c r="A38" s="162" t="str">
        <f aca="false">'Beverage Lines'!A8</f>
        <v>Sour Ale</v>
      </c>
      <c r="B38" s="155" t="s">
        <v>2046</v>
      </c>
      <c r="C38" s="154" t="s">
        <v>120</v>
      </c>
    </row>
    <row r="39" customFormat="false" ht="25.5" hidden="false" customHeight="true" outlineLevel="0" collapsed="false">
      <c r="A39" s="162" t="s">
        <v>1914</v>
      </c>
      <c r="B39" s="154" t="s">
        <v>2047</v>
      </c>
      <c r="C39" s="154" t="s">
        <v>120</v>
      </c>
    </row>
    <row r="40" customFormat="false" ht="25.5" hidden="false" customHeight="true" outlineLevel="0" collapsed="false">
      <c r="A40" s="162" t="str">
        <f aca="false">'Beverage Lines'!A10</f>
        <v>Blonde Ale</v>
      </c>
      <c r="B40" s="154" t="s">
        <v>1276</v>
      </c>
      <c r="C40" s="154" t="s">
        <v>120</v>
      </c>
    </row>
    <row r="41" customFormat="false" ht="25.5" hidden="false" customHeight="true" outlineLevel="0" collapsed="false">
      <c r="A41" s="162" t="str">
        <f aca="false">'Beverage Lines'!A11</f>
        <v>Mexican Lager</v>
      </c>
      <c r="B41" s="154" t="s">
        <v>2048</v>
      </c>
      <c r="C41" s="154" t="s">
        <v>120</v>
      </c>
    </row>
    <row r="42" customFormat="false" ht="15" hidden="false" customHeight="true" outlineLevel="0" collapsed="false"/>
    <row r="43" customFormat="false" ht="15" hidden="false" customHeight="true" outlineLevel="0" collapsed="false">
      <c r="A43" s="163" t="s">
        <v>2049</v>
      </c>
      <c r="B43" s="163"/>
      <c r="C43" s="163"/>
    </row>
    <row r="44" customFormat="false" ht="25.5" hidden="false" customHeight="true" outlineLevel="0" collapsed="false">
      <c r="A44" s="33" t="s">
        <v>246</v>
      </c>
      <c r="B44" s="164"/>
      <c r="C44" s="165"/>
    </row>
    <row r="45" customFormat="false" ht="25.5" hidden="false" customHeight="true" outlineLevel="0" collapsed="false">
      <c r="A45" s="166" t="str">
        <f aca="false">'Dirty Soda - Built Drinks'!A16</f>
        <v>Catboy Piss</v>
      </c>
      <c r="B45" s="166" t="s">
        <v>2050</v>
      </c>
      <c r="C45" s="167" t="str">
        <f aca="false">'Dirty Soda - Built Drinks'!M16</f>
        <v>Blanco Tequila</v>
      </c>
    </row>
    <row r="46" customFormat="false" ht="15" hidden="false" customHeight="true" outlineLevel="0" collapsed="false">
      <c r="A46" s="166" t="str">
        <f aca="false">'Dirty Soda - Built Drinks'!A15</f>
        <v>Catboy Snot</v>
      </c>
      <c r="B46" s="166" t="s">
        <v>2051</v>
      </c>
      <c r="C46" s="167" t="str">
        <f aca="false">'Dirty Soda - Built Drinks'!M15</f>
        <v>Blanco Tequila</v>
      </c>
    </row>
    <row r="47" customFormat="false" ht="15" hidden="false" customHeight="true" outlineLevel="0" collapsed="false">
      <c r="A47" s="166" t="str">
        <f aca="false">'Dirty Soda - Built Drinks'!A13</f>
        <v>Sakura Kisses</v>
      </c>
      <c r="B47" s="166" t="s">
        <v>2052</v>
      </c>
      <c r="C47" s="167" t="str">
        <f aca="false">IF('Dirty Soda - Built Drinks'!M13="","",'Dirty Soda - Built Drinks'!M13)</f>
        <v/>
      </c>
    </row>
    <row r="48" customFormat="false" ht="15" hidden="false" customHeight="true" outlineLevel="0" collapsed="false">
      <c r="A48" s="166" t="s">
        <v>2053</v>
      </c>
      <c r="B48" s="166" t="s">
        <v>2054</v>
      </c>
      <c r="C48" s="166"/>
    </row>
    <row r="49" customFormat="false" ht="15" hidden="false" customHeight="true" outlineLevel="0" collapsed="false"/>
    <row r="50" customFormat="false" ht="15" hidden="false" customHeight="true" outlineLevel="0" collapsed="false">
      <c r="A50" s="6"/>
    </row>
    <row r="51" customFormat="false" ht="15" hidden="false" customHeight="true" outlineLevel="0" collapsed="false"/>
    <row r="52" customFormat="false" ht="25.5" hidden="false" customHeight="true" outlineLevel="0" collapsed="false">
      <c r="A52" s="5" t="s">
        <v>2055</v>
      </c>
    </row>
    <row r="53" customFormat="false" ht="15" hidden="false" customHeight="true" outlineLevel="0" collapsed="false">
      <c r="A53" s="23" t="str">
        <f aca="false">'Jug Recipes'!C12</f>
        <v>Turtle Soup (Mix of leftover alcohol)</v>
      </c>
      <c r="B53" s="168" t="s">
        <v>2056</v>
      </c>
      <c r="C53" s="63" t="s">
        <v>2057</v>
      </c>
    </row>
    <row r="54" customFormat="false" ht="15" hidden="false" customHeight="true" outlineLevel="0" collapsed="false"/>
    <row r="55" customFormat="false" ht="15" hidden="false" customHeight="true" outlineLevel="0" collapsed="false">
      <c r="A55" s="23" t="s">
        <v>2058</v>
      </c>
    </row>
    <row r="56" customFormat="false" ht="15" hidden="false" customHeight="true" outlineLevel="0" collapsed="false">
      <c r="A56" s="33" t="s">
        <v>246</v>
      </c>
      <c r="B56" s="33" t="s">
        <v>2011</v>
      </c>
      <c r="C56" s="33" t="s">
        <v>1902</v>
      </c>
    </row>
    <row r="57" customFormat="false" ht="15" hidden="false" customHeight="true" outlineLevel="0" collapsed="false">
      <c r="A57" s="33" t="s">
        <v>2059</v>
      </c>
      <c r="B57" s="169" t="s">
        <v>2059</v>
      </c>
      <c r="C57" s="33"/>
    </row>
    <row r="58" customFormat="false" ht="15" hidden="false" customHeight="true" outlineLevel="0" collapsed="false">
      <c r="A58" s="33" t="s">
        <v>130</v>
      </c>
      <c r="B58" s="169" t="s">
        <v>130</v>
      </c>
      <c r="C58" s="33"/>
    </row>
    <row r="59" customFormat="false" ht="15" hidden="false" customHeight="true" outlineLevel="0" collapsed="false">
      <c r="A59" s="166" t="s">
        <v>984</v>
      </c>
      <c r="B59" s="166" t="s">
        <v>2060</v>
      </c>
      <c r="C59" s="167" t="s">
        <v>120</v>
      </c>
    </row>
    <row r="60" customFormat="false" ht="15" hidden="false" customHeight="true" outlineLevel="0" collapsed="false">
      <c r="A60" s="166" t="s">
        <v>2061</v>
      </c>
      <c r="B60" s="166" t="s">
        <v>2062</v>
      </c>
      <c r="C60" s="167" t="s">
        <v>120</v>
      </c>
    </row>
    <row r="61" customFormat="false" ht="75" hidden="false" customHeight="true" outlineLevel="0" collapsed="false">
      <c r="A61" s="6" t="s">
        <v>2063</v>
      </c>
    </row>
    <row r="62" customFormat="false" ht="15" hidden="false" customHeight="true" outlineLevel="0" collapsed="false"/>
    <row r="63" customFormat="false" ht="15" hidden="false" customHeight="true" outlineLevel="0" collapsed="false">
      <c r="A63" s="23" t="s">
        <v>2064</v>
      </c>
    </row>
    <row r="64" customFormat="false" ht="15" hidden="false" customHeight="true" outlineLevel="0" collapsed="false">
      <c r="A64" s="33" t="s">
        <v>246</v>
      </c>
      <c r="B64" s="33" t="s">
        <v>2011</v>
      </c>
      <c r="C64" s="33" t="s">
        <v>1902</v>
      </c>
    </row>
    <row r="65" customFormat="false" ht="15" hidden="false" customHeight="true" outlineLevel="0" collapsed="false">
      <c r="A65" s="162" t="str">
        <f aca="false">'Jug Recipes'!A4&amp;" — "&amp;'Jug Recipes'!C4</f>
        <v>Sunday — Cherry Bomb (Cherry Limeade)</v>
      </c>
      <c r="B65" s="154" t="s">
        <v>2065</v>
      </c>
      <c r="C65" s="39" t="str">
        <f aca="false">IF('Jug Recipes'!Q4="",'Jug Recipes'!P4,'Jug Recipes'!P4&amp;" / "&amp;'Jug Recipes'!Q4)</f>
        <v>Vodka / Blanco Tequila</v>
      </c>
    </row>
    <row r="66" customFormat="false" ht="75" hidden="false" customHeight="true" outlineLevel="0" collapsed="false">
      <c r="A66" s="162" t="str">
        <f aca="false">'Jug Recipes'!A5&amp;" — "&amp;'Jug Recipes'!C5</f>
        <v>Monday — Hard Reset (Watermelon-Mint Aqua Fresca)</v>
      </c>
      <c r="B66" s="154" t="s">
        <v>2066</v>
      </c>
      <c r="C66" s="39" t="str">
        <f aca="false">IF('Jug Recipes'!Q5="",'Jug Recipes'!P5,'Jug Recipes'!P5&amp;" / "&amp;'Jug Recipes'!Q5)</f>
        <v>Blanco Tequila / Vodka</v>
      </c>
    </row>
    <row r="67" customFormat="false" ht="75" hidden="false" customHeight="true" outlineLevel="0" collapsed="false">
      <c r="A67" s="162" t="str">
        <f aca="false">'Jug Recipes'!A6&amp;" — "&amp;'Jug Recipes'!C6</f>
        <v>Tuesday — Smoke Test (Lapsang Souchong Lemonade)</v>
      </c>
      <c r="B67" s="154" t="s">
        <v>2067</v>
      </c>
      <c r="C67" s="39" t="str">
        <f aca="false">IF('Jug Recipes'!Q6="",'Jug Recipes'!P6,'Jug Recipes'!P6&amp;" / "&amp;'Jug Recipes'!Q6)</f>
        <v>Whiskey / Spiced Rum</v>
      </c>
    </row>
    <row r="68" customFormat="false" ht="15" hidden="false" customHeight="true" outlineLevel="0" collapsed="false">
      <c r="A68" s="162" t="str">
        <f aca="false">'Jug Recipes'!A7&amp;" — "&amp;'Jug Recipes'!C7</f>
        <v>Wednesday — Red Flag (Agua de Jamaica)</v>
      </c>
      <c r="B68" s="154" t="s">
        <v>2068</v>
      </c>
      <c r="C68" s="39" t="str">
        <f aca="false">IF('Jug Recipes'!Q7="",'Jug Recipes'!P7,'Jug Recipes'!P7&amp;" / "&amp;'Jug Recipes'!Q7)</f>
        <v>Blanco Tequila / Spiced Rum</v>
      </c>
    </row>
    <row r="69" customFormat="false" ht="15" hidden="false" customHeight="true" outlineLevel="0" collapsed="false">
      <c r="A69" s="162" t="str">
        <f aca="false">'Jug Recipes'!A8&amp;" — "&amp;'Jug Recipes'!C8</f>
        <v>Thursday — Gradient Descent (Malibu Sunrise)</v>
      </c>
      <c r="B69" s="154" t="s">
        <v>2069</v>
      </c>
      <c r="C69" s="39" t="str">
        <f aca="false">IF('Jug Recipes'!Q8="",'Jug Recipes'!P8,'Jug Recipes'!P8&amp;" / "&amp;'Jug Recipes'!Q8)</f>
        <v>Coconut Rum / Spiced Rum</v>
      </c>
    </row>
    <row r="70" customFormat="false" ht="15" hidden="false" customHeight="true" outlineLevel="0" collapsed="false">
      <c r="A70" s="162" t="str">
        <f aca="false">'Jug Recipes'!A9&amp;" — "&amp;'Jug Recipes'!C9</f>
        <v>Friday — Whore-chata</v>
      </c>
      <c r="B70" s="154" t="s">
        <v>2070</v>
      </c>
      <c r="C70" s="39" t="str">
        <f aca="false">IF('Jug Recipes'!Q9="",'Jug Recipes'!P9,'Jug Recipes'!P9&amp;" / "&amp;'Jug Recipes'!Q9)</f>
        <v>Spiced Rum / Bourbon</v>
      </c>
    </row>
    <row r="71" customFormat="false" ht="15" hidden="false" customHeight="true" outlineLevel="0" collapsed="false">
      <c r="A71" s="162" t="str">
        <f aca="false">'Jug Recipes'!A10&amp;" — "&amp;'Jug Recipes'!C10</f>
        <v>Saturday — Sleep Mode (Peach Green Iced Tea)</v>
      </c>
      <c r="B71" s="154" t="s">
        <v>2071</v>
      </c>
      <c r="C71" s="39" t="str">
        <f aca="false">IF('Jug Recipes'!Q10="",'Jug Recipes'!P10,'Jug Recipes'!P10&amp;" / "&amp;'Jug Recipes'!Q10)</f>
        <v>Whiskey / Vodka</v>
      </c>
    </row>
    <row r="72" customFormat="false" ht="149.25" hidden="false" customHeight="true" outlineLevel="0" collapsed="false">
      <c r="A72" s="162" t="str">
        <f aca="false">'Jug Recipes'!A11&amp;" — "&amp;'Jug Recipes'!C11</f>
        <v>Sunday (closing) — Graceful Shutdown (Peach Green Iced Tea)</v>
      </c>
      <c r="B72" s="154" t="s">
        <v>2071</v>
      </c>
      <c r="C72" s="39" t="str">
        <f aca="false">IF('Jug Recipes'!Q11="",'Jug Recipes'!P11,'Jug Recipes'!P11&amp;" / "&amp;'Jug Recipes'!Q11)</f>
        <v>Whiskey / Vodka</v>
      </c>
    </row>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3">
    <mergeCell ref="A1:C1"/>
    <mergeCell ref="A3:C3"/>
    <mergeCell ref="A43:C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59</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2026-07-21T05:13:10Z</dcterms:created>
  <dc:creator>openpyxl</dc:creator>
  <dc:description/>
  <dc:language>en-US</dc:language>
  <cp:lastModifiedBy/>
  <dcterms:modified xsi:type="dcterms:W3CDTF">2026-08-22T03:03:47Z</dcterms:modified>
  <cp:revision>44</cp:revision>
  <dc:subject/>
  <dc:title/>
</cp:coreProperties>
</file>

<file path=docProps/custom.xml><?xml version="1.0" encoding="utf-8"?>
<Properties xmlns="http://schemas.openxmlformats.org/officeDocument/2006/custom-properties" xmlns:vt="http://schemas.openxmlformats.org/officeDocument/2006/docPropsVTypes"/>
</file>