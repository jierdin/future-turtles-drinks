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8" autoFilterDateGrouping="1"/>
  </bookViews>
  <sheets>
    <sheet xmlns:r="http://schemas.openxmlformats.org/officeDocument/2006/relationships" name="Assumptions" sheetId="1" state="visible" r:id="rId1"/>
    <sheet xmlns:r="http://schemas.openxmlformats.org/officeDocument/2006/relationships" name="Totals by Type" sheetId="2" state="visible" r:id="rId2"/>
    <sheet xmlns:r="http://schemas.openxmlformats.org/officeDocument/2006/relationships" name="Recipes" sheetId="3" state="visible" r:id="rId3"/>
    <sheet xmlns:r="http://schemas.openxmlformats.org/officeDocument/2006/relationships" name="Kegs" sheetId="4" state="visible" r:id="rId4"/>
    <sheet xmlns:r="http://schemas.openxmlformats.org/officeDocument/2006/relationships" name="Base Soda — Cans" sheetId="5" state="visible" r:id="rId5"/>
    <sheet xmlns:r="http://schemas.openxmlformats.org/officeDocument/2006/relationships" name="Other Consumables" sheetId="6" state="visible" r:id="rId6"/>
    <sheet xmlns:r="http://schemas.openxmlformats.org/officeDocument/2006/relationships" name="Purchase List" sheetId="7" state="visible" r:id="rId7"/>
    <sheet xmlns:r="http://schemas.openxmlformats.org/officeDocument/2006/relationships" name="Supplies" sheetId="8" state="visible" r:id="rId8"/>
    <sheet xmlns:r="http://schemas.openxmlformats.org/officeDocument/2006/relationships" name="Daily Schedule" sheetId="9" state="visible" r:id="rId9"/>
    <sheet xmlns:r="http://schemas.openxmlformats.org/officeDocument/2006/relationships" name="Keg Rotation" sheetId="10" state="visible" r:id="rId10"/>
    <sheet xmlns:r="http://schemas.openxmlformats.org/officeDocument/2006/relationships" name="Jockey Box — Buy vs Rent" sheetId="11" state="visible" r:id="rId11"/>
    <sheet xmlns:r="http://schemas.openxmlformats.org/officeDocument/2006/relationships" name="Camp Drinks" sheetId="12" state="visible" r:id="rId12"/>
    <sheet xmlns:r="http://schemas.openxmlformats.org/officeDocument/2006/relationships" name="Bar Add-Ons" sheetId="13" state="visible" r:id="rId13"/>
    <sheet xmlns:r="http://schemas.openxmlformats.org/officeDocument/2006/relationships" name="Menu Board"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0"/>
    <numFmt numFmtId="165" formatCode="0.0"/>
    <numFmt numFmtId="166" formatCode="0.0%"/>
    <numFmt numFmtId="167" formatCode="#,##0.0"/>
    <numFmt numFmtId="168" formatCode="\$#,##0"/>
  </numFmts>
  <fonts count="24">
    <font>
      <name val="Calibri"/>
      <charset val="1"/>
      <family val="0"/>
      <color rgb="FF000000"/>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000000"/>
      <sz val="10"/>
    </font>
    <font>
      <name val="Arial"/>
      <charset val="1"/>
      <family val="0"/>
      <b val="1"/>
      <color rgb="FFFFFFFF"/>
      <sz val="11"/>
    </font>
    <font>
      <name val="Arial"/>
      <charset val="1"/>
      <family val="0"/>
      <color rgb="FF000000"/>
      <sz val="10"/>
    </font>
    <font>
      <name val="Arial"/>
      <charset val="1"/>
      <family val="0"/>
      <color rgb="FF0000FF"/>
      <sz val="10"/>
    </font>
    <font>
      <name val="Calibri"/>
      <family val="0"/>
      <color rgb="FF000000"/>
      <sz val="11"/>
    </font>
    <font>
      <name val="Cambria"/>
      <charset val="1"/>
      <family val="0"/>
      <b val="1"/>
      <sz val="10"/>
    </font>
    <font>
      <name val="Cambria"/>
      <charset val="1"/>
      <family val="0"/>
      <b val="1"/>
      <color rgb="FFFFFFFF"/>
      <sz val="14"/>
    </font>
    <font>
      <name val="Cambria"/>
      <charset val="1"/>
      <family val="0"/>
      <sz val="9"/>
    </font>
    <font>
      <name val="Cambria"/>
      <charset val="1"/>
      <family val="0"/>
      <b val="1"/>
      <color rgb="FFFFFFFF"/>
      <sz val="11"/>
    </font>
    <font>
      <name val="Cambria"/>
      <charset val="1"/>
      <family val="0"/>
      <sz val="10"/>
    </font>
    <font>
      <name val="Cambria"/>
      <charset val="1"/>
      <family val="0"/>
      <i val="1"/>
      <sz val="9"/>
    </font>
    <font>
      <name val="Cambria"/>
      <charset val="1"/>
      <family val="0"/>
      <i val="1"/>
      <sz val="10"/>
    </font>
    <font>
      <name val="Calibri"/>
      <charset val="1"/>
      <family val="0"/>
      <color theme="1"/>
      <sz val="11"/>
    </font>
    <font>
      <name val="Arial"/>
      <charset val="1"/>
      <family val="0"/>
      <i val="1"/>
      <color rgb="FF000000"/>
      <sz val="9"/>
    </font>
    <font>
      <name val="Cambria"/>
      <charset val="1"/>
      <family val="0"/>
      <color rgb="FF0000FF"/>
      <sz val="10"/>
    </font>
    <font>
      <name val="Cambria"/>
      <charset val="1"/>
      <family val="0"/>
      <sz val="11"/>
    </font>
    <font>
      <name val="Arial"/>
      <charset val="1"/>
      <family val="0"/>
      <b val="1"/>
      <color rgb="FF2A6099"/>
      <sz val="10"/>
    </font>
    <font>
      <name val="Calibri"/>
      <charset val="1"/>
      <family val="0"/>
      <color rgb="FF2A6099"/>
      <sz val="11"/>
    </font>
    <font>
      <name val="Cambria"/>
      <charset val="1"/>
      <family val="0"/>
      <b val="1"/>
      <sz val="11"/>
    </font>
  </fonts>
  <fills count="9">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FFCC"/>
      </patternFill>
    </fill>
    <fill>
      <patternFill patternType="solid">
        <fgColor rgb="FF81ACA6"/>
        <bgColor rgb="FFB0B0B0"/>
      </patternFill>
    </fill>
    <fill>
      <patternFill patternType="solid">
        <fgColor rgb="FFCAD2C5"/>
        <bgColor rgb="FFCCCCFF"/>
      </patternFill>
    </fill>
    <fill>
      <patternFill patternType="solid">
        <fgColor rgb="FFFFFF00"/>
        <bgColor rgb="FFFFFF00"/>
      </patternFill>
    </fill>
    <fill>
      <patternFill patternType="solid">
        <fgColor rgb="FFD8F3DC"/>
        <bgColor rgb="FFCCFFFF"/>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general" vertical="bottom"/>
    </xf>
    <xf numFmtId="0" fontId="6" fillId="3" borderId="1" applyAlignment="1" pivotButton="0" quotePrefix="0" xfId="0">
      <alignment horizontal="center" vertical="center"/>
    </xf>
    <xf numFmtId="0" fontId="7" fillId="0" borderId="1" applyAlignment="1" pivotButton="0" quotePrefix="0" xfId="0">
      <alignment horizontal="left" vertical="center"/>
    </xf>
    <xf numFmtId="0" fontId="8" fillId="4" borderId="1" applyAlignment="1" pivotButton="0" quotePrefix="0" xfId="0">
      <alignment horizontal="center" vertical="center"/>
    </xf>
    <xf numFmtId="0" fontId="7" fillId="0" borderId="1" applyAlignment="1" pivotButton="0" quotePrefix="0" xfId="0">
      <alignment horizontal="left" vertical="center" wrapText="1"/>
    </xf>
    <xf numFmtId="164" fontId="8" fillId="4" borderId="1" applyAlignment="1" pivotButton="0" quotePrefix="0" xfId="0">
      <alignment horizontal="center" vertical="center"/>
    </xf>
    <xf numFmtId="0" fontId="9" fillId="0" borderId="1" applyAlignment="1" pivotButton="0" quotePrefix="0" xfId="0">
      <alignment horizontal="left" vertical="center"/>
    </xf>
    <xf numFmtId="0" fontId="10" fillId="0" borderId="0" applyAlignment="1" pivotButton="0" quotePrefix="0" xfId="0">
      <alignment horizontal="general" vertical="bottom"/>
    </xf>
    <xf numFmtId="165" fontId="0" fillId="0" borderId="0" applyAlignment="1" pivotButton="0" quotePrefix="0" xfId="0">
      <alignment horizontal="general" vertical="bottom"/>
    </xf>
    <xf numFmtId="1" fontId="0" fillId="0" borderId="0" applyAlignment="1" pivotButton="0" quotePrefix="0" xfId="0">
      <alignment horizontal="general" vertical="bottom"/>
    </xf>
    <xf numFmtId="0" fontId="11" fillId="2" borderId="0" applyAlignment="1" pivotButton="0" quotePrefix="0" xfId="0">
      <alignment horizontal="general" vertical="bottom"/>
    </xf>
    <xf numFmtId="0" fontId="12" fillId="0" borderId="0" applyAlignment="1" pivotButton="0" quotePrefix="0" xfId="0">
      <alignment horizontal="left" vertical="top" wrapText="1"/>
    </xf>
    <xf numFmtId="0" fontId="13" fillId="3" borderId="2" applyAlignment="1" pivotButton="0" quotePrefix="0" xfId="0">
      <alignment horizontal="center" vertical="center" wrapText="1"/>
    </xf>
    <xf numFmtId="0" fontId="14" fillId="0" borderId="2" applyAlignment="1" pivotButton="0" quotePrefix="0" xfId="0">
      <alignment horizontal="general" vertical="bottom"/>
    </xf>
    <xf numFmtId="1" fontId="14" fillId="0" borderId="2" applyAlignment="1" pivotButton="0" quotePrefix="0" xfId="0">
      <alignment horizontal="center" vertical="bottom"/>
    </xf>
    <xf numFmtId="166" fontId="14" fillId="0" borderId="2" applyAlignment="1" pivotButton="0" quotePrefix="0" xfId="0">
      <alignment horizontal="center" vertical="bottom"/>
    </xf>
    <xf numFmtId="164" fontId="14" fillId="0" borderId="2" applyAlignment="1" pivotButton="0" quotePrefix="0" xfId="0">
      <alignment horizontal="center" vertical="bottom"/>
    </xf>
    <xf numFmtId="0" fontId="10" fillId="5" borderId="2" applyAlignment="1" pivotButton="0" quotePrefix="0" xfId="0">
      <alignment horizontal="general" vertical="bottom"/>
    </xf>
    <xf numFmtId="1" fontId="10" fillId="5" borderId="2" applyAlignment="1" pivotButton="0" quotePrefix="0" xfId="0">
      <alignment horizontal="center" vertical="bottom"/>
    </xf>
    <xf numFmtId="166" fontId="10" fillId="5" borderId="2" applyAlignment="1" pivotButton="0" quotePrefix="0" xfId="0">
      <alignment horizontal="center" vertical="bottom"/>
    </xf>
    <xf numFmtId="164" fontId="10" fillId="5" borderId="2" applyAlignment="1" pivotButton="0" quotePrefix="0" xfId="0">
      <alignment horizontal="center" vertical="bottom"/>
    </xf>
    <xf numFmtId="0" fontId="14" fillId="0" borderId="2" applyAlignment="1" pivotButton="0" quotePrefix="0" xfId="0">
      <alignment horizontal="center" vertical="bottom"/>
    </xf>
    <xf numFmtId="0" fontId="12" fillId="0" borderId="2" applyAlignment="1" pivotButton="0" quotePrefix="0" xfId="0">
      <alignment horizontal="center" vertical="center" wrapText="1"/>
    </xf>
    <xf numFmtId="0" fontId="15" fillId="0" borderId="2" applyAlignment="1" pivotButton="0" quotePrefix="0" xfId="0">
      <alignment horizontal="general" vertical="bottom"/>
    </xf>
    <xf numFmtId="164" fontId="16" fillId="0" borderId="2" applyAlignment="1" pivotButton="0" quotePrefix="0" xfId="0">
      <alignment horizontal="center" vertical="bottom"/>
    </xf>
    <xf numFmtId="167" fontId="14" fillId="0" borderId="2" applyAlignment="1" pivotButton="0" quotePrefix="0" xfId="0">
      <alignment horizontal="center" vertical="bottom"/>
    </xf>
    <xf numFmtId="0" fontId="6" fillId="3" borderId="1" applyAlignment="1" pivotButton="0" quotePrefix="0" xfId="0">
      <alignment horizontal="center" vertical="center" wrapText="1"/>
    </xf>
    <xf numFmtId="1" fontId="8" fillId="4" borderId="1" applyAlignment="1" pivotButton="0" quotePrefix="0" xfId="0">
      <alignment horizontal="center" vertical="center"/>
    </xf>
    <xf numFmtId="166" fontId="7" fillId="0" borderId="1" applyAlignment="1" pivotButton="0" quotePrefix="0" xfId="0">
      <alignment horizontal="center" vertical="center"/>
    </xf>
    <xf numFmtId="165" fontId="8" fillId="4" borderId="1" applyAlignment="1" pivotButton="0" quotePrefix="0" xfId="0">
      <alignment horizontal="center" vertical="center"/>
    </xf>
    <xf numFmtId="165" fontId="7" fillId="0" borderId="1" applyAlignment="1" pivotButton="0" quotePrefix="0" xfId="0">
      <alignment horizontal="center" vertical="center"/>
    </xf>
    <xf numFmtId="0" fontId="17" fillId="0" borderId="0" applyAlignment="1" pivotButton="0" quotePrefix="0" xfId="0">
      <alignment horizontal="general" vertical="bottom"/>
    </xf>
    <xf numFmtId="0" fontId="5" fillId="6" borderId="1" applyAlignment="1" pivotButton="0" quotePrefix="0" xfId="0">
      <alignment horizontal="left" vertical="center"/>
    </xf>
    <xf numFmtId="1" fontId="5" fillId="6" borderId="1" applyAlignment="1" pivotButton="0" quotePrefix="0" xfId="0">
      <alignment horizontal="center" vertical="center"/>
    </xf>
    <xf numFmtId="0" fontId="18" fillId="0" borderId="0" applyAlignment="1" pivotButton="0" quotePrefix="0" xfId="0">
      <alignment horizontal="general" vertical="top" wrapText="1"/>
    </xf>
    <xf numFmtId="0" fontId="5" fillId="0" borderId="1" applyAlignment="1" pivotButton="0" quotePrefix="0" xfId="0">
      <alignment horizontal="left" vertical="center"/>
    </xf>
    <xf numFmtId="1" fontId="7" fillId="0" borderId="1" applyAlignment="1" pivotButton="0" quotePrefix="0" xfId="0">
      <alignment horizontal="center" vertical="center"/>
    </xf>
    <xf numFmtId="164" fontId="7" fillId="0" borderId="1" applyAlignment="1" pivotButton="0" quotePrefix="0" xfId="0">
      <alignment horizontal="center" vertical="center"/>
    </xf>
    <xf numFmtId="168" fontId="7" fillId="0" borderId="1" applyAlignment="1" pivotButton="0" quotePrefix="0" xfId="0">
      <alignment horizontal="center" vertical="center"/>
    </xf>
    <xf numFmtId="1" fontId="5" fillId="7" borderId="1" applyAlignment="1" pivotButton="0" quotePrefix="0" xfId="0">
      <alignment horizontal="center" vertical="center"/>
    </xf>
    <xf numFmtId="1" fontId="5" fillId="0" borderId="1" applyAlignment="1" pivotButton="0" quotePrefix="0" xfId="0">
      <alignment horizontal="center" vertical="center"/>
    </xf>
    <xf numFmtId="168" fontId="5" fillId="0" borderId="1" applyAlignment="1" pivotButton="0" quotePrefix="0" xfId="0">
      <alignment horizontal="center" vertical="center"/>
    </xf>
    <xf numFmtId="0" fontId="0" fillId="7" borderId="0" applyAlignment="1" pivotButton="0" quotePrefix="0" xfId="0">
      <alignment horizontal="general" vertical="bottom"/>
    </xf>
    <xf numFmtId="0" fontId="0" fillId="5" borderId="0" applyAlignment="1" pivotButton="0" quotePrefix="0" xfId="0">
      <alignment horizontal="general" vertical="bottom"/>
    </xf>
    <xf numFmtId="3" fontId="7" fillId="0" borderId="1" applyAlignment="1" pivotButton="0" quotePrefix="0" xfId="0">
      <alignment horizontal="center" vertical="center"/>
    </xf>
    <xf numFmtId="3" fontId="5" fillId="0" borderId="1" applyAlignment="1" pivotButton="0" quotePrefix="0" xfId="0">
      <alignment horizontal="center" vertical="center"/>
    </xf>
    <xf numFmtId="3" fontId="5" fillId="6" borderId="1" applyAlignment="1" pivotButton="0" quotePrefix="0" xfId="0">
      <alignment horizontal="center" vertical="center"/>
    </xf>
    <xf numFmtId="0" fontId="5" fillId="0" borderId="0" applyAlignment="1" pivotButton="0" quotePrefix="0" xfId="0">
      <alignment horizontal="general" vertical="bottom"/>
    </xf>
    <xf numFmtId="0" fontId="18" fillId="0" borderId="0" applyAlignment="1" pivotButton="0" quotePrefix="0" xfId="0">
      <alignment horizontal="general" vertical="top" wrapText="1"/>
    </xf>
    <xf numFmtId="0" fontId="13" fillId="3" borderId="2" applyAlignment="1" pivotButton="0" quotePrefix="0" xfId="0">
      <alignment horizontal="general" vertical="bottom"/>
    </xf>
    <xf numFmtId="3" fontId="14" fillId="0" borderId="2" applyAlignment="1" pivotButton="0" quotePrefix="0" xfId="0">
      <alignment horizontal="general" vertical="bottom"/>
    </xf>
    <xf numFmtId="3" fontId="10" fillId="0" borderId="2"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center" vertical="center"/>
    </xf>
    <xf numFmtId="0" fontId="8" fillId="4" borderId="1" applyAlignment="1" pivotButton="0" quotePrefix="0" xfId="0">
      <alignment horizontal="left" vertical="center" wrapText="1"/>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168" fontId="14" fillId="0" borderId="2" applyAlignment="1" pivotButton="0" quotePrefix="0" xfId="0">
      <alignment horizontal="center" vertical="bottom"/>
    </xf>
    <xf numFmtId="0" fontId="19" fillId="4" borderId="2" applyAlignment="1" pivotButton="0" quotePrefix="0" xfId="0">
      <alignment horizontal="left" vertical="bottom" wrapText="1"/>
    </xf>
    <xf numFmtId="0" fontId="20" fillId="0" borderId="0" applyAlignment="1" pivotButton="0" quotePrefix="0" xfId="0">
      <alignment horizontal="general" vertical="bottom"/>
    </xf>
    <xf numFmtId="1" fontId="5" fillId="0" borderId="1" applyAlignment="1" pivotButton="0" quotePrefix="0" xfId="0">
      <alignment horizontal="left" vertical="center"/>
    </xf>
    <xf numFmtId="0" fontId="21" fillId="4" borderId="1" applyAlignment="1" pivotButton="0" quotePrefix="0" xfId="0">
      <alignment horizontal="left" vertical="center"/>
    </xf>
    <xf numFmtId="0" fontId="22" fillId="4" borderId="0" applyAlignment="1" pivotButton="0" quotePrefix="0" xfId="0">
      <alignment horizontal="general" vertical="bottom"/>
    </xf>
    <xf numFmtId="164" fontId="0" fillId="0" borderId="0" applyAlignment="1" pivotButton="0" quotePrefix="0" xfId="0">
      <alignment horizontal="general" vertical="bottom"/>
    </xf>
    <xf numFmtId="3" fontId="0" fillId="0" borderId="0" applyAlignment="1" pivotButton="0" quotePrefix="0" xfId="0">
      <alignment horizontal="general" vertical="bottom"/>
    </xf>
    <xf numFmtId="0" fontId="20" fillId="0" borderId="2" applyAlignment="1" pivotButton="0" quotePrefix="0" xfId="0">
      <alignment horizontal="center" vertical="bottom"/>
    </xf>
    <xf numFmtId="0" fontId="20" fillId="0" borderId="2" applyAlignment="1" pivotButton="0" quotePrefix="0" xfId="0">
      <alignment horizontal="left" vertical="bottom" wrapText="1"/>
    </xf>
    <xf numFmtId="168" fontId="20" fillId="0" borderId="2" applyAlignment="1" pivotButton="0" quotePrefix="0" xfId="0">
      <alignment horizontal="center" vertical="bottom"/>
    </xf>
    <xf numFmtId="0" fontId="23" fillId="0" borderId="0" applyAlignment="1" pivotButton="0" quotePrefix="0" xfId="0">
      <alignment horizontal="general" vertical="bottom"/>
    </xf>
    <xf numFmtId="1" fontId="23"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2" fillId="0" borderId="2" applyAlignment="1" pivotButton="0" quotePrefix="0" xfId="0">
      <alignment horizontal="left" vertical="top" wrapText="1"/>
    </xf>
    <xf numFmtId="1" fontId="19" fillId="4" borderId="2" applyAlignment="1" pivotButton="0" quotePrefix="0" xfId="0">
      <alignment horizontal="center" vertical="bottom"/>
    </xf>
    <xf numFmtId="164" fontId="19" fillId="4" borderId="2" applyAlignment="1" pivotButton="0" quotePrefix="0" xfId="0">
      <alignment horizontal="center" vertical="bottom"/>
    </xf>
    <xf numFmtId="164" fontId="10" fillId="0" borderId="2" applyAlignment="1" pivotButton="0" quotePrefix="0" xfId="0">
      <alignment horizontal="center" vertical="bottom"/>
    </xf>
    <xf numFmtId="0" fontId="10" fillId="8" borderId="2" applyAlignment="1" pivotButton="0" quotePrefix="0" xfId="0">
      <alignment horizontal="general" vertical="bottom"/>
    </xf>
    <xf numFmtId="164" fontId="10" fillId="8" borderId="2" applyAlignment="1" pivotButton="0" quotePrefix="0" xfId="0">
      <alignment horizontal="center" vertical="bottom"/>
    </xf>
    <xf numFmtId="165" fontId="14" fillId="0" borderId="2" applyAlignment="1" pivotButton="0" quotePrefix="0" xfId="0">
      <alignment horizontal="center" vertical="bottom"/>
    </xf>
    <xf numFmtId="0" fontId="10" fillId="0" borderId="2" applyAlignment="1" pivotButton="0" quotePrefix="0" xfId="0">
      <alignment horizontal="general" vertical="bottom"/>
    </xf>
    <xf numFmtId="0" fontId="14" fillId="8" borderId="2" applyAlignment="1" pivotButton="0" quotePrefix="0" xfId="0">
      <alignment horizontal="general" vertical="bottom"/>
    </xf>
    <xf numFmtId="1" fontId="14" fillId="8" borderId="2" applyAlignment="1" pivotButton="0" quotePrefix="0" xfId="0">
      <alignment horizontal="center" vertical="bottom"/>
    </xf>
    <xf numFmtId="0" fontId="14" fillId="8" borderId="2" applyAlignment="1" pivotButton="0" quotePrefix="0" xfId="0">
      <alignment horizontal="center" vertical="bottom"/>
    </xf>
    <xf numFmtId="164" fontId="14" fillId="8" borderId="2" applyAlignment="1" pivotButton="0" quotePrefix="0" xfId="0">
      <alignment horizontal="center" vertical="bottom"/>
    </xf>
    <xf numFmtId="0" fontId="12" fillId="8" borderId="2" applyAlignment="1" pivotButton="0" quotePrefix="0" xfId="0">
      <alignment horizontal="left" vertical="top" wrapText="1"/>
    </xf>
    <xf numFmtId="0" fontId="14" fillId="0" borderId="2" applyAlignment="1" pivotButton="0" quotePrefix="0" xfId="0">
      <alignment horizontal="left" vertical="top" wrapText="1"/>
    </xf>
    <xf numFmtId="0" fontId="14" fillId="8" borderId="2" applyAlignment="1" pivotButton="0" quotePrefix="0" xfId="0">
      <alignment horizontal="left" vertical="top" wrapText="1"/>
    </xf>
    <xf numFmtId="0" fontId="14" fillId="4" borderId="2" applyAlignment="1" pivotButton="0" quotePrefix="0" xfId="0">
      <alignment horizontal="left" vertical="top" wrapText="1"/>
    </xf>
    <xf numFmtId="0" fontId="12" fillId="4"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general" vertical="bottom"/>
    </xf>
    <xf numFmtId="0" fontId="6" fillId="3" borderId="1" applyAlignment="1" pivotButton="0" quotePrefix="0" xfId="0">
      <alignment horizontal="center" vertical="center"/>
    </xf>
    <xf numFmtId="0" fontId="7" fillId="0" borderId="1" applyAlignment="1" pivotButton="0" quotePrefix="0" xfId="0">
      <alignment horizontal="left" vertical="center"/>
    </xf>
    <xf numFmtId="0" fontId="8" fillId="4" borderId="1" applyAlignment="1" pivotButton="0" quotePrefix="0" xfId="0">
      <alignment horizontal="center" vertical="center"/>
    </xf>
    <xf numFmtId="0" fontId="7" fillId="0" borderId="1" applyAlignment="1" pivotButton="0" quotePrefix="0" xfId="0">
      <alignment horizontal="left" vertical="center" wrapText="1"/>
    </xf>
    <xf numFmtId="164" fontId="8" fillId="4" borderId="1" applyAlignment="1" pivotButton="0" quotePrefix="0" xfId="0">
      <alignment horizontal="center" vertical="center"/>
    </xf>
    <xf numFmtId="0" fontId="9" fillId="0" borderId="1" applyAlignment="1" pivotButton="0" quotePrefix="0" xfId="0">
      <alignment horizontal="left" vertical="center"/>
    </xf>
    <xf numFmtId="0" fontId="10" fillId="0" borderId="0" applyAlignment="1" pivotButton="0" quotePrefix="0" xfId="0">
      <alignment horizontal="general" vertical="bottom"/>
    </xf>
    <xf numFmtId="165" fontId="0" fillId="0" borderId="0" applyAlignment="1" pivotButton="0" quotePrefix="0" xfId="0">
      <alignment horizontal="general" vertical="bottom"/>
    </xf>
    <xf numFmtId="1" fontId="0" fillId="0" borderId="0" applyAlignment="1" pivotButton="0" quotePrefix="0" xfId="0">
      <alignment horizontal="general" vertical="bottom"/>
    </xf>
    <xf numFmtId="0" fontId="11" fillId="2" borderId="0" applyAlignment="1" pivotButton="0" quotePrefix="0" xfId="0">
      <alignment horizontal="general" vertical="bottom"/>
    </xf>
    <xf numFmtId="0" fontId="12" fillId="0" borderId="0" applyAlignment="1" pivotButton="0" quotePrefix="0" xfId="0">
      <alignment horizontal="left" vertical="top" wrapText="1"/>
    </xf>
    <xf numFmtId="0" fontId="13" fillId="3" borderId="2" applyAlignment="1" pivotButton="0" quotePrefix="0" xfId="0">
      <alignment horizontal="center" vertical="center" wrapText="1"/>
    </xf>
    <xf numFmtId="0" fontId="14" fillId="0" borderId="2" applyAlignment="1" pivotButton="0" quotePrefix="0" xfId="0">
      <alignment horizontal="general" vertical="bottom"/>
    </xf>
    <xf numFmtId="1" fontId="14" fillId="0" borderId="2" applyAlignment="1" pivotButton="0" quotePrefix="0" xfId="0">
      <alignment horizontal="center" vertical="bottom"/>
    </xf>
    <xf numFmtId="166" fontId="14" fillId="0" borderId="2" applyAlignment="1" pivotButton="0" quotePrefix="0" xfId="0">
      <alignment horizontal="center" vertical="bottom"/>
    </xf>
    <xf numFmtId="164" fontId="14" fillId="0" borderId="2" applyAlignment="1" pivotButton="0" quotePrefix="0" xfId="0">
      <alignment horizontal="center" vertical="bottom"/>
    </xf>
    <xf numFmtId="0" fontId="10" fillId="5" borderId="2" applyAlignment="1" pivotButton="0" quotePrefix="0" xfId="0">
      <alignment horizontal="general" vertical="bottom"/>
    </xf>
    <xf numFmtId="1" fontId="10" fillId="5" borderId="2" applyAlignment="1" pivotButton="0" quotePrefix="0" xfId="0">
      <alignment horizontal="center" vertical="bottom"/>
    </xf>
    <xf numFmtId="166" fontId="10" fillId="5" borderId="2" applyAlignment="1" pivotButton="0" quotePrefix="0" xfId="0">
      <alignment horizontal="center" vertical="bottom"/>
    </xf>
    <xf numFmtId="164" fontId="10" fillId="5" borderId="2" applyAlignment="1" pivotButton="0" quotePrefix="0" xfId="0">
      <alignment horizontal="center" vertical="bottom"/>
    </xf>
    <xf numFmtId="0" fontId="14" fillId="0" borderId="2" applyAlignment="1" pivotButton="0" quotePrefix="0" xfId="0">
      <alignment horizontal="center" vertical="bottom"/>
    </xf>
    <xf numFmtId="0" fontId="12" fillId="0" borderId="2" applyAlignment="1" pivotButton="0" quotePrefix="0" xfId="0">
      <alignment horizontal="center" vertical="center" wrapText="1"/>
    </xf>
    <xf numFmtId="0" fontId="15" fillId="0" borderId="2" applyAlignment="1" pivotButton="0" quotePrefix="0" xfId="0">
      <alignment horizontal="general" vertical="bottom"/>
    </xf>
    <xf numFmtId="164" fontId="16" fillId="0" borderId="2" applyAlignment="1" pivotButton="0" quotePrefix="0" xfId="0">
      <alignment horizontal="center" vertical="bottom"/>
    </xf>
    <xf numFmtId="167" fontId="14" fillId="0" borderId="2" applyAlignment="1" pivotButton="0" quotePrefix="0" xfId="0">
      <alignment horizontal="center" vertical="bottom"/>
    </xf>
    <xf numFmtId="0" fontId="6" fillId="3" borderId="1" applyAlignment="1" pivotButton="0" quotePrefix="0" xfId="0">
      <alignment horizontal="center" vertical="center" wrapText="1"/>
    </xf>
    <xf numFmtId="1" fontId="8" fillId="4" borderId="1" applyAlignment="1" pivotButton="0" quotePrefix="0" xfId="0">
      <alignment horizontal="center" vertical="center"/>
    </xf>
    <xf numFmtId="166" fontId="7" fillId="0" borderId="1" applyAlignment="1" pivotButton="0" quotePrefix="0" xfId="0">
      <alignment horizontal="center" vertical="center"/>
    </xf>
    <xf numFmtId="165" fontId="8" fillId="4" borderId="1" applyAlignment="1" pivotButton="0" quotePrefix="0" xfId="0">
      <alignment horizontal="center" vertical="center"/>
    </xf>
    <xf numFmtId="165" fontId="7" fillId="0" borderId="1" applyAlignment="1" pivotButton="0" quotePrefix="0" xfId="0">
      <alignment horizontal="center" vertical="center"/>
    </xf>
    <xf numFmtId="0" fontId="17" fillId="0" borderId="0" applyAlignment="1" pivotButton="0" quotePrefix="0" xfId="0">
      <alignment horizontal="general" vertical="bottom"/>
    </xf>
    <xf numFmtId="0" fontId="5" fillId="6" borderId="1" applyAlignment="1" pivotButton="0" quotePrefix="0" xfId="0">
      <alignment horizontal="left" vertical="center"/>
    </xf>
    <xf numFmtId="1" fontId="5" fillId="6" borderId="1" applyAlignment="1" pivotButton="0" quotePrefix="0" xfId="0">
      <alignment horizontal="center" vertical="center"/>
    </xf>
    <xf numFmtId="0" fontId="18" fillId="0" borderId="0" applyAlignment="1" pivotButton="0" quotePrefix="0" xfId="0">
      <alignment horizontal="general" vertical="top" wrapText="1"/>
    </xf>
    <xf numFmtId="0" fontId="5" fillId="0" borderId="1" applyAlignment="1" pivotButton="0" quotePrefix="0" xfId="0">
      <alignment horizontal="left" vertical="center"/>
    </xf>
    <xf numFmtId="1" fontId="7" fillId="0" borderId="1" applyAlignment="1" pivotButton="0" quotePrefix="0" xfId="0">
      <alignment horizontal="center" vertical="center"/>
    </xf>
    <xf numFmtId="164" fontId="7" fillId="0" borderId="1" applyAlignment="1" pivotButton="0" quotePrefix="0" xfId="0">
      <alignment horizontal="center" vertical="center"/>
    </xf>
    <xf numFmtId="168" fontId="7" fillId="0" borderId="1" applyAlignment="1" pivotButton="0" quotePrefix="0" xfId="0">
      <alignment horizontal="center" vertical="center"/>
    </xf>
    <xf numFmtId="1" fontId="5" fillId="7" borderId="1" applyAlignment="1" pivotButton="0" quotePrefix="0" xfId="0">
      <alignment horizontal="center" vertical="center"/>
    </xf>
    <xf numFmtId="1" fontId="5" fillId="0" borderId="1" applyAlignment="1" pivotButton="0" quotePrefix="0" xfId="0">
      <alignment horizontal="center" vertical="center"/>
    </xf>
    <xf numFmtId="168" fontId="5" fillId="0" borderId="1" applyAlignment="1" pivotButton="0" quotePrefix="0" xfId="0">
      <alignment horizontal="center" vertical="center"/>
    </xf>
    <xf numFmtId="0" fontId="0" fillId="7" borderId="0" applyAlignment="1" pivotButton="0" quotePrefix="0" xfId="0">
      <alignment horizontal="general" vertical="bottom"/>
    </xf>
    <xf numFmtId="0" fontId="0" fillId="5" borderId="0" applyAlignment="1" pivotButton="0" quotePrefix="0" xfId="0">
      <alignment horizontal="general" vertical="bottom"/>
    </xf>
    <xf numFmtId="3" fontId="7" fillId="0" borderId="1" applyAlignment="1" pivotButton="0" quotePrefix="0" xfId="0">
      <alignment horizontal="center" vertical="center"/>
    </xf>
    <xf numFmtId="3" fontId="5" fillId="0" borderId="1" applyAlignment="1" pivotButton="0" quotePrefix="0" xfId="0">
      <alignment horizontal="center" vertical="center"/>
    </xf>
    <xf numFmtId="3" fontId="5" fillId="6" borderId="1" applyAlignment="1" pivotButton="0" quotePrefix="0" xfId="0">
      <alignment horizontal="center" vertical="center"/>
    </xf>
    <xf numFmtId="0" fontId="13" fillId="3" borderId="2" applyAlignment="1" pivotButton="0" quotePrefix="0" xfId="0">
      <alignment horizontal="general" vertical="bottom"/>
    </xf>
    <xf numFmtId="3" fontId="14" fillId="0" borderId="2" applyAlignment="1" pivotButton="0" quotePrefix="0" xfId="0">
      <alignment horizontal="general" vertical="bottom"/>
    </xf>
    <xf numFmtId="3" fontId="10" fillId="0" borderId="2"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center" vertical="center"/>
    </xf>
    <xf numFmtId="0" fontId="8" fillId="4" borderId="1" applyAlignment="1" pivotButton="0" quotePrefix="0" xfId="0">
      <alignment horizontal="left" vertical="center" wrapText="1"/>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168" fontId="14" fillId="0" borderId="2" applyAlignment="1" pivotButton="0" quotePrefix="0" xfId="0">
      <alignment horizontal="center" vertical="bottom"/>
    </xf>
    <xf numFmtId="0" fontId="19" fillId="4" borderId="2" applyAlignment="1" pivotButton="0" quotePrefix="0" xfId="0">
      <alignment horizontal="left" vertical="bottom" wrapText="1"/>
    </xf>
    <xf numFmtId="0" fontId="20" fillId="0" borderId="0" applyAlignment="1" pivotButton="0" quotePrefix="0" xfId="0">
      <alignment horizontal="general" vertical="bottom"/>
    </xf>
    <xf numFmtId="1" fontId="5" fillId="0" borderId="1" applyAlignment="1" pivotButton="0" quotePrefix="0" xfId="0">
      <alignment horizontal="left" vertical="center"/>
    </xf>
    <xf numFmtId="0" fontId="21" fillId="4" borderId="1" applyAlignment="1" pivotButton="0" quotePrefix="0" xfId="0">
      <alignment horizontal="left" vertical="center"/>
    </xf>
    <xf numFmtId="0" fontId="22" fillId="4" borderId="0" applyAlignment="1" pivotButton="0" quotePrefix="0" xfId="0">
      <alignment horizontal="general" vertical="bottom"/>
    </xf>
    <xf numFmtId="164" fontId="0" fillId="0" borderId="0" applyAlignment="1" pivotButton="0" quotePrefix="0" xfId="0">
      <alignment horizontal="general" vertical="bottom"/>
    </xf>
    <xf numFmtId="3" fontId="0" fillId="0" borderId="0" applyAlignment="1" pivotButton="0" quotePrefix="0" xfId="0">
      <alignment horizontal="general" vertical="bottom"/>
    </xf>
    <xf numFmtId="0" fontId="20" fillId="0" borderId="2" applyAlignment="1" pivotButton="0" quotePrefix="0" xfId="0">
      <alignment horizontal="center" vertical="bottom"/>
    </xf>
    <xf numFmtId="0" fontId="20" fillId="0" borderId="2" applyAlignment="1" pivotButton="0" quotePrefix="0" xfId="0">
      <alignment horizontal="left" vertical="bottom" wrapText="1"/>
    </xf>
    <xf numFmtId="168" fontId="20" fillId="0" borderId="2" applyAlignment="1" pivotButton="0" quotePrefix="0" xfId="0">
      <alignment horizontal="center" vertical="bottom"/>
    </xf>
    <xf numFmtId="0" fontId="23" fillId="0" borderId="0" applyAlignment="1" pivotButton="0" quotePrefix="0" xfId="0">
      <alignment horizontal="general" vertical="bottom"/>
    </xf>
    <xf numFmtId="1" fontId="23"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2" fillId="0" borderId="2" applyAlignment="1" pivotButton="0" quotePrefix="0" xfId="0">
      <alignment horizontal="left" vertical="top" wrapText="1"/>
    </xf>
    <xf numFmtId="1" fontId="19" fillId="4" borderId="2" applyAlignment="1" pivotButton="0" quotePrefix="0" xfId="0">
      <alignment horizontal="center" vertical="bottom"/>
    </xf>
    <xf numFmtId="164" fontId="19" fillId="4" borderId="2" applyAlignment="1" pivotButton="0" quotePrefix="0" xfId="0">
      <alignment horizontal="center" vertical="bottom"/>
    </xf>
    <xf numFmtId="164" fontId="10" fillId="0" borderId="2" applyAlignment="1" pivotButton="0" quotePrefix="0" xfId="0">
      <alignment horizontal="center" vertical="bottom"/>
    </xf>
    <xf numFmtId="0" fontId="10" fillId="8" borderId="2" applyAlignment="1" pivotButton="0" quotePrefix="0" xfId="0">
      <alignment horizontal="general" vertical="bottom"/>
    </xf>
    <xf numFmtId="164" fontId="10" fillId="8" borderId="2" applyAlignment="1" pivotButton="0" quotePrefix="0" xfId="0">
      <alignment horizontal="center" vertical="bottom"/>
    </xf>
    <xf numFmtId="165" fontId="14" fillId="0" borderId="2" applyAlignment="1" pivotButton="0" quotePrefix="0" xfId="0">
      <alignment horizontal="center" vertical="bottom"/>
    </xf>
    <xf numFmtId="0" fontId="10" fillId="0" borderId="2" applyAlignment="1" pivotButton="0" quotePrefix="0" xfId="0">
      <alignment horizontal="general" vertical="bottom"/>
    </xf>
    <xf numFmtId="0" fontId="14" fillId="8" borderId="2" applyAlignment="1" pivotButton="0" quotePrefix="0" xfId="0">
      <alignment horizontal="general" vertical="bottom"/>
    </xf>
    <xf numFmtId="1" fontId="14" fillId="8" borderId="2" applyAlignment="1" pivotButton="0" quotePrefix="0" xfId="0">
      <alignment horizontal="center" vertical="bottom"/>
    </xf>
    <xf numFmtId="0" fontId="14" fillId="8" borderId="2" applyAlignment="1" pivotButton="0" quotePrefix="0" xfId="0">
      <alignment horizontal="center" vertical="bottom"/>
    </xf>
    <xf numFmtId="164" fontId="14" fillId="8" borderId="2" applyAlignment="1" pivotButton="0" quotePrefix="0" xfId="0">
      <alignment horizontal="center" vertical="bottom"/>
    </xf>
    <xf numFmtId="0" fontId="12" fillId="8" borderId="2" applyAlignment="1" pivotButton="0" quotePrefix="0" xfId="0">
      <alignment horizontal="left" vertical="top" wrapText="1"/>
    </xf>
    <xf numFmtId="0" fontId="14" fillId="0" borderId="2" applyAlignment="1" pivotButton="0" quotePrefix="0" xfId="0">
      <alignment horizontal="left" vertical="top" wrapText="1"/>
    </xf>
    <xf numFmtId="0" fontId="14" fillId="8" borderId="2" applyAlignment="1" pivotButton="0" quotePrefix="0" xfId="0">
      <alignment horizontal="left" vertical="top" wrapText="1"/>
    </xf>
    <xf numFmtId="0" fontId="14" fillId="4" borderId="2" applyAlignment="1" pivotButton="0" quotePrefix="0" xfId="0">
      <alignment horizontal="left" vertical="top" wrapText="1"/>
    </xf>
    <xf numFmtId="0" fontId="12" fillId="4"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AD2C5"/>
      <rgbColor rgb="FF808080"/>
      <rgbColor rgb="FFB0B0B0"/>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C99"/>
      <rgbColor rgb="FF3366FF"/>
      <rgbColor rgb="FF33CCCC"/>
      <rgbColor rgb="FF99CC00"/>
      <rgbColor rgb="FFFFCC00"/>
      <rgbColor rgb="FFFF9900"/>
      <rgbColor rgb="FFFF6600"/>
      <rgbColor rgb="FF52796F"/>
      <rgbColor rgb="FF81ACA6"/>
      <rgbColor rgb="FF003366"/>
      <rgbColor rgb="FF339966"/>
      <rgbColor rgb="FF003300"/>
      <rgbColor rgb="FF333300"/>
      <rgbColor rgb="FF993300"/>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1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7" activeCellId="0" sqref="B17"/>
    </sheetView>
  </sheetViews>
  <sheetFormatPr baseColWidth="8" defaultColWidth="14.4296875" defaultRowHeight="15" zeroHeight="0" outlineLevelRow="0"/>
  <cols>
    <col width="34" customWidth="1" style="92" min="1" max="1"/>
    <col width="12" customWidth="1" style="92" min="2" max="2"/>
    <col width="40" customWidth="1" style="92" min="3" max="3"/>
    <col width="6" customWidth="1" style="92" min="4" max="4"/>
    <col width="8.710000000000001" customWidth="1" style="92" min="5" max="26"/>
  </cols>
  <sheetData>
    <row r="1" ht="25.5" customHeight="1" s="93">
      <c r="A1" s="94" t="inlineStr">
        <is>
          <t>Future Turtles Drinks — Supply Model (Burning Man 2026)</t>
        </is>
      </c>
    </row>
    <row r="3" ht="15" customHeight="1" s="93">
      <c r="A3" s="95" t="inlineStr">
        <is>
          <t>KEY INPUTS — yellow cells are editable</t>
        </is>
      </c>
    </row>
    <row r="4" ht="15" customHeight="1" s="93">
      <c r="A4" s="96" t="inlineStr">
        <is>
          <t>Input</t>
        </is>
      </c>
      <c r="B4" s="96" t="inlineStr">
        <is>
          <t>Value</t>
        </is>
      </c>
      <c r="C4" s="96" t="inlineStr">
        <is>
          <t>Note</t>
        </is>
      </c>
      <c r="D4" s="96" t="n"/>
    </row>
    <row r="5" ht="15" customHeight="1" s="93">
      <c r="A5" s="97" t="inlineStr">
        <is>
          <t>Buffer (waste/over-pour)</t>
        </is>
      </c>
      <c r="B5" s="98" t="n">
        <v>0.15</v>
      </c>
      <c r="C5" s="99" t="inlineStr">
        <is>
          <t>Applied to consumables.</t>
        </is>
      </c>
      <c r="D5" s="97" t="n"/>
    </row>
    <row r="6" ht="15" customHeight="1" s="93">
      <c r="A6" s="97" t="inlineStr">
        <is>
          <t>Cans per case (base soda)</t>
        </is>
      </c>
      <c r="B6" s="98" t="n">
        <v>24</v>
      </c>
      <c r="C6" s="99" t="inlineStr">
        <is>
          <t>12 oz can case.</t>
        </is>
      </c>
      <c r="D6" s="97" t="n"/>
    </row>
    <row r="7" ht="15" customHeight="1" s="93">
      <c r="A7" s="97" t="inlineStr">
        <is>
          <t>Can size (oz)</t>
        </is>
      </c>
      <c r="B7" s="98" t="n">
        <v>12</v>
      </c>
      <c r="C7" s="99" t="inlineStr">
        <is>
          <t>Standard can.</t>
        </is>
      </c>
      <c r="D7" s="97" t="n"/>
    </row>
    <row r="8" ht="15" customHeight="1" s="93">
      <c r="A8" s="97" t="inlineStr">
        <is>
          <t>Syrup bottle size (oz)</t>
        </is>
      </c>
      <c r="B8" s="98" t="n">
        <v>25.4</v>
      </c>
      <c r="C8" s="99" t="inlineStr">
        <is>
          <t>Torani 750ml.</t>
        </is>
      </c>
      <c r="D8" s="97" t="n"/>
    </row>
    <row r="9" ht="15" customHeight="1" s="93">
      <c r="A9" s="97" t="inlineStr">
        <is>
          <t>Cream of coconut (oz/bottle)</t>
        </is>
      </c>
      <c r="B9" s="98" t="n">
        <v>22</v>
      </c>
      <c r="C9" s="99" t="inlineStr">
        <is>
          <t>22oz squeeze bottle (Amazon).</t>
        </is>
      </c>
      <c r="D9" s="97" t="n"/>
    </row>
    <row r="10" ht="15" customHeight="1" s="93">
      <c r="A10" s="97" t="inlineStr">
        <is>
          <t>Half &amp; half (oz/quart) — LEGACY</t>
        </is>
      </c>
      <c r="B10" s="98" t="n">
        <v>32</v>
      </c>
      <c r="C10" s="99" t="inlineStr">
        <is>
          <t>Dairy dropped — replaced by cream of coconut squeeze bottles.</t>
        </is>
      </c>
      <c r="D10" s="97" t="n"/>
    </row>
    <row r="11" ht="15" customHeight="1" s="93">
      <c r="A11" s="97" t="inlineStr">
        <is>
          <t>Keg size (gal)</t>
        </is>
      </c>
      <c r="B11" s="98" t="n">
        <v>5</v>
      </c>
      <c r="C11" s="99" t="inlineStr">
        <is>
          <t>All 5 kegs assumed 5 gal.</t>
        </is>
      </c>
      <c r="D11" s="97" t="n"/>
    </row>
    <row r="12" ht="15" customHeight="1" s="93">
      <c r="A12" s="97" t="inlineStr">
        <is>
          <t>Servings per 5gal keg</t>
        </is>
      </c>
      <c r="B12" s="98">
        <f>FLOOR((B11*128-B121)/B120,1)</f>
        <v/>
      </c>
      <c r="C12" s="99" t="inlineStr">
        <is>
          <t>Derived: (keg gal x 128 - loss) / pour size. Change B120 to resize every keg count in the model.</t>
        </is>
      </c>
      <c r="D12" s="97" t="n"/>
    </row>
    <row r="13" ht="15" customHeight="1" s="93">
      <c r="A13" s="97" t="inlineStr">
        <is>
          <t>Squirt bottle size (oz) — LEGACY</t>
        </is>
      </c>
      <c r="B13" s="98" t="n">
        <v>67.59999999999999</v>
      </c>
      <c r="C13" s="99" t="inlineStr">
        <is>
          <t>Legacy 2L sizing — Squirt now bought in 12oz cans like the other sodas.</t>
        </is>
      </c>
      <c r="D13" s="97" t="n"/>
    </row>
    <row r="15" ht="15" customHeight="1" s="93">
      <c r="A15" s="95" t="inlineStr">
        <is>
          <t>UNIT PRICES</t>
        </is>
      </c>
    </row>
    <row r="16" ht="15" customHeight="1" s="93">
      <c r="A16" s="97" t="inlineStr">
        <is>
          <t>Base soda — $/case (24)</t>
        </is>
      </c>
      <c r="B16" s="100" t="n">
        <v>25</v>
      </c>
      <c r="C16" s="97" t="n"/>
    </row>
    <row r="17" ht="15" customHeight="1" s="93">
      <c r="A17" s="97" t="inlineStr">
        <is>
          <t>Lemonade — $/gallon</t>
        </is>
      </c>
      <c r="B17" s="100" t="n">
        <v>1.25</v>
      </c>
      <c r="C17" s="97" t="inlineStr">
        <is>
          <t>Cost per FINISHED gallon. Now priced as liquid concentrate: one ~$5 bottle makes ~8 gal, so the 4-gal requirement is a single bottle. Set this to 4-6 to switch back to ready-to-drink jugs — Purchase List row 6 re-prices itself either way.</t>
        </is>
      </c>
    </row>
    <row r="18" ht="15" customHeight="1" s="93">
      <c r="A18" s="97" t="inlineStr">
        <is>
          <t>Horchata mix — $/case-equiv</t>
        </is>
      </c>
      <c r="B18" s="100" t="n">
        <v>12</v>
      </c>
      <c r="C18" s="97" t="n"/>
    </row>
    <row r="19" ht="15" customHeight="1" s="93">
      <c r="A19" s="97" t="inlineStr">
        <is>
          <t>Syrup — $/bottle</t>
        </is>
      </c>
      <c r="B19" s="100" t="n">
        <v>9</v>
      </c>
      <c r="C19" s="97" t="n"/>
    </row>
    <row r="20" ht="15" customHeight="1" s="93">
      <c r="A20" s="97" t="inlineStr">
        <is>
          <t>Cream of coconut — $/bottle</t>
        </is>
      </c>
      <c r="B20" s="100" t="n">
        <v>7</v>
      </c>
      <c r="C20" s="97" t="n"/>
    </row>
    <row r="21" ht="15.75" customHeight="1" s="93">
      <c r="A21" s="97" t="inlineStr">
        <is>
          <t>Half &amp; half — $/quart — LEGACY</t>
        </is>
      </c>
      <c r="B21" s="100" t="n">
        <v>3.5</v>
      </c>
      <c r="C21" s="97" t="n"/>
    </row>
    <row r="22" ht="15.75" customHeight="1" s="93">
      <c r="A22" s="97" t="inlineStr">
        <is>
          <t>Soda water — $/case</t>
        </is>
      </c>
      <c r="B22" s="100" t="n">
        <v>18</v>
      </c>
      <c r="C22" s="97" t="n"/>
    </row>
    <row r="23" ht="15.75" customHeight="1" s="93">
      <c r="A23" s="97" t="inlineStr">
        <is>
          <t>Squirt — (now in cans; see soda case price)</t>
        </is>
      </c>
      <c r="B23" s="100" t="n">
        <v>2.5</v>
      </c>
      <c r="C23" s="97" t="n"/>
    </row>
    <row r="24" ht="15.75" customHeight="1" s="93">
      <c r="A24" s="97" t="inlineStr">
        <is>
          <t>Cider keg — $/keg</t>
        </is>
      </c>
      <c r="B24" s="100" t="n">
        <v>160</v>
      </c>
      <c r="C24" s="97" t="n"/>
    </row>
    <row r="25" ht="15.75" customHeight="1" s="93">
      <c r="A25" s="97" t="inlineStr">
        <is>
          <t>Kombucha keg — $/keg</t>
        </is>
      </c>
      <c r="B25" s="100" t="n">
        <v>130</v>
      </c>
      <c r="C25" s="97" t="n"/>
    </row>
    <row r="26" ht="15.75" customHeight="1" s="93">
      <c r="A26" s="97" t="inlineStr">
        <is>
          <t>Beer keg — $/keg</t>
        </is>
      </c>
      <c r="B26" s="100" t="n">
        <v>180</v>
      </c>
      <c r="C26" s="97" t="n"/>
    </row>
    <row r="27" ht="15.75" customHeight="1" s="93">
      <c r="A27" s="97" t="inlineStr">
        <is>
          <t>Green tea keg — $/keg</t>
        </is>
      </c>
      <c r="B27" s="100" t="n">
        <v>130</v>
      </c>
      <c r="C27" s="97" t="n"/>
    </row>
    <row r="28" ht="15.75" customHeight="1" s="93">
      <c r="A28" s="97" t="inlineStr">
        <is>
          <t>Keg add-ons/garnish — $/keg avg</t>
        </is>
      </c>
      <c r="B28" s="100" t="n">
        <v>25</v>
      </c>
      <c r="C28" s="97" t="n"/>
    </row>
    <row r="29" ht="15.75" customHeight="1" s="93">
      <c r="A29" s="101" t="inlineStr">
        <is>
          <t>Kombucha</t>
        </is>
      </c>
      <c r="B29" s="100" t="n">
        <v>0.35</v>
      </c>
      <c r="C29" s="97" t="inlineStr">
        <is>
          <t>Kombucha Mule add-ins (lemon/sugar/ginger beer); Tang Dynasty extras are itemized separately.</t>
        </is>
      </c>
    </row>
    <row r="30" ht="15.75" customHeight="1" s="93"/>
    <row r="31" ht="15.75" customHeight="1" s="93">
      <c r="A31" s="95" t="inlineStr">
        <is>
          <t>KEG EQUIPMENT — RENTED (Mike's Liquors)</t>
        </is>
      </c>
    </row>
    <row r="32" ht="15.75" customHeight="1" s="93">
      <c r="A32" s="97" t="inlineStr">
        <is>
          <t>Keg deposit — each (REFUNDABLE)</t>
        </is>
      </c>
      <c r="B32" s="100" t="n">
        <v>50</v>
      </c>
      <c r="C32" s="97" t="inlineStr">
        <is>
          <t>Cash needed up front, returned with the empties — excluded from program cost.</t>
        </is>
      </c>
    </row>
    <row r="33" ht="15.75" customHeight="1" s="93">
      <c r="A33" s="97" t="inlineStr">
        <is>
          <t>Double jockey box (2 taps) — $ per 4-day rental</t>
        </is>
      </c>
      <c r="B33" s="100" t="n">
        <v>150</v>
      </c>
      <c r="C33" s="97" t="inlineStr">
        <is>
          <t>Ice-cooled coil box; no kegerator needed.</t>
        </is>
      </c>
    </row>
    <row r="34" ht="15.75" customHeight="1" s="93">
      <c r="A34" s="97" t="inlineStr">
        <is>
          <t>Rental periods (12 days = 3 x 4-day)</t>
        </is>
      </c>
      <c r="B34" s="100" t="n">
        <v>3</v>
      </c>
      <c r="C34" s="97" t="n"/>
    </row>
    <row r="35" ht="15.75" customHeight="1" s="93">
      <c r="A35" s="97" t="inlineStr">
        <is>
          <t>CO2 refill — $ each</t>
        </is>
      </c>
      <c r="B35" s="100" t="n">
        <v>59</v>
      </c>
      <c r="C35" s="97" t="n"/>
    </row>
    <row r="36" ht="15.75" customHeight="1" s="93">
      <c r="A36" s="97" t="inlineStr">
        <is>
          <t>CO2 refills — count</t>
        </is>
      </c>
      <c r="B36" s="100" t="n">
        <v>2</v>
      </c>
      <c r="C36" s="97" t="inlineStr">
        <is>
          <t>10lb pushes ~5-7 kegs; 2nd fill covers heat/venting losses.</t>
        </is>
      </c>
    </row>
    <row r="37" ht="15.75" customHeight="1" s="93"/>
    <row r="38" ht="15.75" customHeight="1" s="93">
      <c r="A38" s="95" t="inlineStr">
        <is>
          <t>LIQUOR (OPTIONAL ADD-ON)</t>
        </is>
      </c>
    </row>
    <row r="39" ht="15.75" customHeight="1" s="93">
      <c r="A39" s="97" t="inlineStr">
        <is>
          <t>% of drinks made alcoholic</t>
        </is>
      </c>
      <c r="B39" s="98" t="n">
        <v>0.35</v>
      </c>
      <c r="C39" s="99" t="inlineStr">
        <is>
          <t>Applied to servings per recipe to size liquor needs.</t>
        </is>
      </c>
      <c r="D39" s="97" t="n"/>
    </row>
    <row r="40" ht="15.75" customHeight="1" s="93">
      <c r="A40" s="97" t="inlineStr">
        <is>
          <t>Liquor pour per alcoholic drink (oz)</t>
        </is>
      </c>
      <c r="B40" s="98" t="n">
        <v>1.5</v>
      </c>
      <c r="C40" s="99" t="inlineStr">
        <is>
          <t>Standard single shot.</t>
        </is>
      </c>
      <c r="D40" s="97" t="n"/>
    </row>
    <row r="41" ht="15.75" customHeight="1" s="93">
      <c r="A41" s="97" t="inlineStr">
        <is>
          <t>Liquor bottle size (oz)</t>
        </is>
      </c>
      <c r="B41" s="98" t="n">
        <v>25.4</v>
      </c>
      <c r="C41" s="99" t="inlineStr">
        <is>
          <t>750ml standard.</t>
        </is>
      </c>
      <c r="D41" s="97" t="n"/>
    </row>
    <row r="42" ht="15.75" customHeight="1" s="93">
      <c r="A42" s="97" t="inlineStr">
        <is>
          <t>Vodka — $/bottle</t>
        </is>
      </c>
      <c r="B42" s="100" t="n">
        <v>24</v>
      </c>
      <c r="C42" s="99" t="inlineStr">
        <is>
          <t>Consider peach/vanilla flavored vodka for Peaches &amp; Creamed / Orange Cream-sicle.</t>
        </is>
      </c>
      <c r="D42" s="97" t="n"/>
    </row>
    <row r="43" ht="15.75" customHeight="1" s="93">
      <c r="A43" s="97" t="inlineStr">
        <is>
          <t>Coconut Rum — $/bottle</t>
        </is>
      </c>
      <c r="B43" s="100" t="n">
        <v>24</v>
      </c>
      <c r="C43" s="99" t="inlineStr">
        <is>
          <t>e.g. Malibu.</t>
        </is>
      </c>
      <c r="D43" s="97" t="n"/>
    </row>
    <row r="44" ht="15.75" customHeight="1" s="93">
      <c r="A44" s="97" t="inlineStr">
        <is>
          <t>Bourbon — $/bottle</t>
        </is>
      </c>
      <c r="B44" s="100" t="n">
        <v>28</v>
      </c>
      <c r="C44" s="99" t="n"/>
      <c r="D44" s="97" t="n"/>
    </row>
    <row r="45" ht="15.75" customHeight="1" s="93">
      <c r="A45" s="97" t="inlineStr">
        <is>
          <t>Blanco Tequila — $/bottle</t>
        </is>
      </c>
      <c r="B45" s="100" t="n">
        <v>24</v>
      </c>
      <c r="C45" s="99" t="n"/>
      <c r="D45" s="97" t="n"/>
    </row>
    <row r="46" ht="15.75" customHeight="1" s="93">
      <c r="A46" s="97" t="inlineStr">
        <is>
          <t>Spiced Rum — $/bottle</t>
        </is>
      </c>
      <c r="B46" s="100" t="n">
        <v>20</v>
      </c>
      <c r="C46" s="99" t="n"/>
      <c r="D46" s="97" t="n"/>
    </row>
    <row r="47" ht="15.75" customHeight="1" s="93">
      <c r="A47" s="97" t="inlineStr">
        <is>
          <t>Whiskey — $/bottle</t>
        </is>
      </c>
      <c r="B47" s="100" t="n">
        <v>22</v>
      </c>
      <c r="C47" s="99" t="inlineStr">
        <is>
          <t>Consider pickle whiskey (e.g. Ole Smoky) for A Ginger's Pickle as a novelty side option.</t>
        </is>
      </c>
      <c r="D47" s="97" t="n"/>
    </row>
    <row r="48" ht="15.75" customHeight="1" s="93"/>
    <row r="49" ht="15.75" customHeight="1" s="93">
      <c r="A49" s="92" t="inlineStr">
        <is>
          <t>DAILY SPECIALS &amp; SUNDAY PARTY (new inputs)</t>
        </is>
      </c>
    </row>
    <row r="50" ht="15.75" customHeight="1" s="93">
      <c r="A50" s="92" t="inlineStr">
        <is>
          <t>Taps available at once (Mon–Sat)</t>
        </is>
      </c>
      <c r="B50" s="92" t="n">
        <v>2</v>
      </c>
      <c r="C50" s="92" t="inlineStr">
        <is>
          <t>Two continuous tap lines now: a 'beer line' + an 'other tap' line, each evolving through kegs across the week. See Keg Rotation tab.</t>
        </is>
      </c>
    </row>
    <row r="51" ht="15.75" customHeight="1" s="93">
      <c r="A51" s="92" t="inlineStr">
        <is>
          <t>Aqua fresca fruit base — oz/serving</t>
        </is>
      </c>
      <c r="B51" s="92" t="n">
        <v>3.2</v>
      </c>
      <c r="C51" s="92" t="inlineStr">
        <is>
          <t>Juice per fresca serving (watermelon Mon; Sat OJ fresca uses 4 oz).</t>
        </is>
      </c>
    </row>
    <row r="52" ht="15.75" customHeight="1" s="93">
      <c r="A52" s="92" t="inlineStr">
        <is>
          <t>Aqua fresca fruit base — $/32oz bottle</t>
        </is>
      </c>
      <c r="B52" s="92" t="n">
        <v>6</v>
      </c>
      <c r="C52" s="92" t="inlineStr">
        <is>
          <t>Legacy — Mon/Sat frescas now use whole melons / OJ cartons.</t>
        </is>
      </c>
    </row>
    <row r="53" ht="15.75" customHeight="1" s="93">
      <c r="A53" s="92" t="inlineStr">
        <is>
          <t>Aqua fresca fruit base — oz/bottle</t>
        </is>
      </c>
      <c r="B53" s="92" t="n">
        <v>32</v>
      </c>
    </row>
    <row r="54" ht="15.75" customHeight="1" s="93">
      <c r="A54" s="92" t="inlineStr">
        <is>
          <t>Agave — oz/serving (jug frescas)</t>
        </is>
      </c>
      <c r="B54" s="92" t="n">
        <v>0.45</v>
      </c>
      <c r="C54" s="92" t="inlineStr">
        <is>
          <t>Was 0.64 oz of 1:1 simple syrup. Agave is ~1.5x sweeter, so the volume drops ~30% for the same sweetness. Taste during testing and nudge.</t>
        </is>
      </c>
    </row>
    <row r="55" ht="15.75" customHeight="1" s="93">
      <c r="A55" s="92" t="inlineStr">
        <is>
          <t>Simple syrup — $/bottle — LEGACY (agave now, B133)</t>
        </is>
      </c>
      <c r="B55" s="92" t="n">
        <v>9</v>
      </c>
      <c r="C55" s="92" t="inlineStr">
        <is>
          <t>Reuse Torani-size bottle for costing.</t>
        </is>
      </c>
    </row>
    <row r="56" ht="15.75" customHeight="1" s="93">
      <c r="A56" s="92" t="inlineStr">
        <is>
          <t>Simple syrup — oz/bottle — LEGACY (agave now, B132)</t>
        </is>
      </c>
      <c r="B56" s="92" t="n">
        <v>25.4</v>
      </c>
    </row>
    <row r="57" ht="15.75" customHeight="1" s="93">
      <c r="A57" s="92" t="inlineStr">
        <is>
          <t>Snow Paws Milkshake IPA keg — $/keg</t>
        </is>
      </c>
      <c r="B57" s="92" t="n">
        <v>210</v>
      </c>
      <c r="C57" s="92" t="inlineStr">
        <is>
          <t>Legacy — Snow Paws cut; second Kombucha keg closes the beer line instead.</t>
        </is>
      </c>
    </row>
    <row r="58" ht="15.75" customHeight="1" s="93">
      <c r="A58" s="92" t="inlineStr">
        <is>
          <t>Ancho Paloma Sour Ale keg — $/keg</t>
        </is>
      </c>
      <c r="B58" s="92" t="n">
        <v>190</v>
      </c>
      <c r="C58" s="92" t="inlineStr">
        <is>
          <t>Sunday party + first couple days.</t>
        </is>
      </c>
    </row>
    <row r="59" ht="15.75" customHeight="1" s="93">
      <c r="A59" s="92" t="inlineStr">
        <is>
          <t>Biggest Little Blonde Ale keg — $/keg</t>
        </is>
      </c>
      <c r="B59" s="92" t="n">
        <v>180</v>
      </c>
      <c r="C59" s="92" t="inlineStr">
        <is>
          <t>Sunday party pour + Michelada base Wed–Fri.</t>
        </is>
      </c>
    </row>
    <row r="60" ht="15.75" customHeight="1" s="93">
      <c r="A60" s="92" t="inlineStr">
        <is>
          <t>Michelada build — servings (from Mexican Lager keg)</t>
        </is>
      </c>
      <c r="B60" s="92" t="n">
        <v>30</v>
      </c>
      <c r="C60" s="92" t="inlineStr">
        <is>
          <t>Built to order from the Mexican Lager keg, like the Kombucha Mule. 30 of the keg's 50 pours go out as Micheladas; the other 20 are pulled straight (see Kegs!C11, which takes the remainder).</t>
        </is>
      </c>
    </row>
    <row r="61" ht="15.75" customHeight="1" s="93">
      <c r="A61" s="92" t="inlineStr">
        <is>
          <t>Michelada extras — $/serving (Tajin, lime, Clamato, hot sauce)</t>
        </is>
      </c>
      <c r="B61" s="92" t="n">
        <v>0.5</v>
      </c>
    </row>
    <row r="62" ht="15.75" customHeight="1" s="93">
      <c r="A62" s="92" t="inlineStr">
        <is>
          <t>Sakura + orange syrup — $/bottle</t>
        </is>
      </c>
      <c r="B62" s="92" t="n">
        <v>9</v>
      </c>
      <c r="C62" s="92" t="inlineStr">
        <is>
          <t>Added to the green tea keg for the Sat Catboy Café.</t>
        </is>
      </c>
    </row>
    <row r="63" ht="15.75" customHeight="1" s="93">
      <c r="A63" s="92" t="inlineStr">
        <is>
          <t>Sakura + orange syrup — bottles needed</t>
        </is>
      </c>
      <c r="B63" s="92" t="n">
        <v>2</v>
      </c>
      <c r="C63" s="92" t="inlineStr">
        <is>
          <t>1 sakura + 1 orange — covers the built Catboy Café Green Tea (Recipes row 14).</t>
        </is>
      </c>
    </row>
    <row r="64" ht="15.75" customHeight="1" s="93">
      <c r="A64" s="92" t="inlineStr">
        <is>
          <t>Rough daily-volume note</t>
        </is>
      </c>
      <c r="C64" s="92"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Blue Screen of Death jug (33) and the normal all-week board. That is ~116 servings from Saturday-only items alone, all built to order, all on the busiest day. Prep the aloe tint, the basil seeds and the hydrated garnishes on FRIDAY NIGHT, not Saturday.</t>
        </is>
      </c>
    </row>
    <row r="65" ht="15.75" customHeight="1" s="93">
      <c r="A65" s="92" t="inlineStr">
        <is>
          <t>Half keg price factor (vs full keg)</t>
        </is>
      </c>
      <c r="B65" s="92" t="n">
        <v>0.65</v>
      </c>
      <c r="C65" s="92" t="inlineStr">
        <is>
          <t>Vendor charges more per-oz for the smaller format, so it's not a flat 50%.</t>
        </is>
      </c>
    </row>
    <row r="66" ht="15.75" customHeight="1" s="93">
      <c r="A66" s="92" t="inlineStr">
        <is>
          <t>Servings per half keg</t>
        </is>
      </c>
      <c r="B66" s="92">
        <f>FLOOR(B12/2,1)</f>
        <v/>
      </c>
      <c r="C66" s="92" t="inlineStr">
        <is>
          <t>Half of a full keg's servings, rounded down.</t>
        </is>
      </c>
    </row>
    <row r="67" ht="15.75" customHeight="1" s="93">
      <c r="A67" s="92" t="inlineStr">
        <is>
          <t>Mexican Lager keg — $/keg</t>
        </is>
      </c>
      <c r="B67" s="92" t="n">
        <v>150</v>
      </c>
      <c r="C67" s="92" t="inlineStr">
        <is>
          <t>Built into Michelada mid-week (Wed-Thu) instead of Blonde Ale.</t>
        </is>
      </c>
    </row>
    <row r="68" ht="15.75" customHeight="1" s="93">
      <c r="A68" s="92" t="inlineStr">
        <is>
          <t>Daily jug size (L)</t>
        </is>
      </c>
      <c r="B68" s="92" t="n">
        <v>10</v>
      </c>
      <c r="C68" s="92" t="inlineStr">
        <is>
          <t>10 L drink dispenser (~2.6 gal). Derived oz and servings-per-jug are at rows 115-117; the Daily Schedule servings column reads from B117, so changing this resizes every nightly batch and its ingredient buys.</t>
        </is>
      </c>
    </row>
    <row r="69" ht="15.75" customHeight="1" s="93">
      <c r="A69" s="92" t="inlineStr">
        <is>
          <t>Orange juice — oz/carton</t>
        </is>
      </c>
      <c r="B69" s="92" t="n">
        <v>64</v>
      </c>
    </row>
    <row r="70" ht="15.75" customHeight="1" s="93">
      <c r="A70" s="92" t="inlineStr">
        <is>
          <t>Orange juice — $/carton</t>
        </is>
      </c>
      <c r="B70" s="92" t="n">
        <v>5</v>
      </c>
    </row>
    <row r="71" ht="15.75" customHeight="1" s="93">
      <c r="A71" s="92" t="inlineStr">
        <is>
          <t>Pineapple juice — oz/can</t>
        </is>
      </c>
      <c r="B71" s="92" t="n">
        <v>46</v>
      </c>
    </row>
    <row r="72" ht="15.75" customHeight="1" s="93">
      <c r="A72" s="92" t="inlineStr">
        <is>
          <t>Pineapple juice — $/can</t>
        </is>
      </c>
      <c r="B72" s="92" t="n">
        <v>4</v>
      </c>
    </row>
    <row r="73" ht="15.75" customHeight="1" s="93">
      <c r="A73" s="92" t="inlineStr">
        <is>
          <t>Grenadine — oz/bottle</t>
        </is>
      </c>
      <c r="B73" s="92" t="n">
        <v>25</v>
      </c>
    </row>
    <row r="74" ht="15.75" customHeight="1" s="93">
      <c r="A74" s="92" t="inlineStr">
        <is>
          <t>Grenadine — $/bottle</t>
        </is>
      </c>
      <c r="B74" s="92" t="n">
        <v>6</v>
      </c>
    </row>
    <row r="75" ht="15.75" customHeight="1" s="93">
      <c r="A75" s="92" t="inlineStr">
        <is>
          <t>Blue spirulina — $/jar</t>
        </is>
      </c>
      <c r="B75" s="92" t="n">
        <v>20</v>
      </c>
      <c r="C75" s="92" t="inlineStr">
        <is>
          <t>50g jar; DIY Baja Blast colorant for the Mountain Dew Blue Lemonade.</t>
        </is>
      </c>
    </row>
    <row r="76" ht="15.75" customHeight="1" s="93">
      <c r="A76" s="92" t="inlineStr">
        <is>
          <t>Watermelon — juice yield oz/melon</t>
        </is>
      </c>
      <c r="B76" s="92" t="n">
        <v>90</v>
      </c>
      <c r="C76" s="92" t="inlineStr">
        <is>
          <t>~15 lb melon → ~3 qt strained juice.</t>
        </is>
      </c>
    </row>
    <row r="77" ht="15.75" customHeight="1" s="93">
      <c r="A77" s="92" t="inlineStr">
        <is>
          <t>Watermelon — $/melon</t>
        </is>
      </c>
      <c r="B77" s="92" t="n">
        <v>7</v>
      </c>
    </row>
    <row r="78" ht="15.75" customHeight="1" s="93">
      <c r="A78" s="92" t="inlineStr">
        <is>
          <t>Lime juice — oz/bottle</t>
        </is>
      </c>
      <c r="B78" s="92" t="n">
        <v>48</v>
      </c>
      <c r="C78" s="92" t="inlineStr">
        <is>
          <t>ReaLime-style bottled.</t>
        </is>
      </c>
    </row>
    <row r="79" ht="15.75" customHeight="1" s="93">
      <c r="A79" s="92" t="inlineStr">
        <is>
          <t>Lime juice — $/bottle</t>
        </is>
      </c>
      <c r="B79" s="92" t="n">
        <v>4</v>
      </c>
    </row>
    <row r="80" ht="15.75" customHeight="1" s="93">
      <c r="A80" s="92" t="inlineStr">
        <is>
          <t>Maraschino cherries — $/jar</t>
        </is>
      </c>
      <c r="B80" s="92" t="n">
        <v>8</v>
      </c>
      <c r="C80" s="92" t="inlineStr">
        <is>
          <t>Large jar; garnish for Wed Cherry Limeade.</t>
        </is>
      </c>
    </row>
    <row r="81" ht="15.75" customHeight="1" s="93">
      <c r="A81" s="92" t="inlineStr">
        <is>
          <t>Event days (camp bulk drinks)</t>
        </is>
      </c>
      <c r="B81" s="92" t="n">
        <v>7</v>
      </c>
      <c r="C81" s="92" t="inlineStr">
        <is>
          <t>Sun-Sat; scales cold brew &amp; electrolytes.</t>
        </is>
      </c>
    </row>
    <row r="82" ht="15.75" customHeight="1" s="93">
      <c r="A82" s="92" t="inlineStr">
        <is>
          <t>Cold brew — gallons/day</t>
        </is>
      </c>
      <c r="B82" s="92" t="n">
        <v>3</v>
      </c>
    </row>
    <row r="83" ht="15.75" customHeight="1" s="93">
      <c r="A83" s="92" t="inlineStr">
        <is>
          <t>Cold brew grounds — lb per gallon</t>
        </is>
      </c>
      <c r="B83" s="92" t="n">
        <v>1</v>
      </c>
      <c r="C83" s="92" t="inlineStr">
        <is>
          <t>Coarse grind, brewed as concentrate then diluted ~1:1.</t>
        </is>
      </c>
    </row>
    <row r="84" ht="15.75" customHeight="1" s="93">
      <c r="A84" s="92" t="inlineStr">
        <is>
          <t>Cold brew grounds — lb/bag</t>
        </is>
      </c>
      <c r="B84" s="92" t="n">
        <v>3</v>
      </c>
      <c r="C84" s="92" t="inlineStr">
        <is>
          <t>Costco 3-lb bag.</t>
        </is>
      </c>
    </row>
    <row r="85" ht="15.75" customHeight="1" s="93">
      <c r="A85" s="92" t="inlineStr">
        <is>
          <t>Cold brew grounds — $/bag</t>
        </is>
      </c>
      <c r="B85" s="92" t="n">
        <v>18</v>
      </c>
    </row>
    <row r="86" ht="15.75" customHeight="1" s="93">
      <c r="A86" s="92" t="inlineStr">
        <is>
          <t>Electrolyte mix — gallons/day</t>
        </is>
      </c>
      <c r="B86" s="92" t="n">
        <v>5</v>
      </c>
    </row>
    <row r="87" ht="15.75" customHeight="1" s="93">
      <c r="A87" s="92" t="inlineStr">
        <is>
          <t>Electrolyte mix — gal per canister</t>
        </is>
      </c>
      <c r="B87" s="92" t="n">
        <v>6</v>
      </c>
      <c r="C87" s="92" t="inlineStr">
        <is>
          <t>Gatorade-style 51oz powder canister.</t>
        </is>
      </c>
    </row>
    <row r="88" ht="15.75" customHeight="1" s="93">
      <c r="A88" s="92" t="inlineStr">
        <is>
          <t>Electrolyte mix — $/canister</t>
        </is>
      </c>
      <c r="B88" s="92" t="n">
        <v>13</v>
      </c>
    </row>
    <row r="89" ht="15.75" customHeight="1" s="93">
      <c r="A89" s="92" t="inlineStr">
        <is>
          <t>Tangerine juice — oz/bottle</t>
        </is>
      </c>
      <c r="B89" s="92" t="n">
        <v>52</v>
      </c>
    </row>
    <row r="90" ht="15.75" customHeight="1" s="93">
      <c r="A90" s="92" t="inlineStr">
        <is>
          <t>Tangerine juice — $/bottle</t>
        </is>
      </c>
      <c r="B90" s="92" t="n">
        <v>5</v>
      </c>
    </row>
    <row r="91" ht="15.75" customHeight="1" s="93">
      <c r="A91" s="92" t="inlineStr">
        <is>
          <t>Fruit purée squeeze bottle — oz</t>
        </is>
      </c>
      <c r="B91" s="92" t="n">
        <v>22</v>
      </c>
    </row>
    <row r="92" ht="15.75" customHeight="1" s="93">
      <c r="A92" s="92" t="inlineStr">
        <is>
          <t>Passion fruit purée — $/bottle</t>
        </is>
      </c>
      <c r="B92" s="92" t="n">
        <v>12</v>
      </c>
    </row>
    <row r="93" ht="15.75" customHeight="1" s="93">
      <c r="A93" s="92" t="inlineStr">
        <is>
          <t>Pineapple purée — $/bottle</t>
        </is>
      </c>
      <c r="B93" s="92" t="n">
        <v>10</v>
      </c>
    </row>
    <row r="94" ht="15.75" customHeight="1" s="93"/>
    <row r="95" ht="15.75" customHeight="1" s="93">
      <c r="A95" s="102" t="inlineStr">
        <is>
          <t>KOMBUCHA MULE BUILD — extras itemized</t>
        </is>
      </c>
    </row>
    <row r="96" ht="15.75" customHeight="1" s="93">
      <c r="A96" s="92" t="inlineStr">
        <is>
          <t>Ginger beer — oz/can</t>
        </is>
      </c>
      <c r="B96" s="92" t="n">
        <v>12</v>
      </c>
      <c r="C96" s="92" t="inlineStr">
        <is>
          <t>12oz can/bottle.</t>
        </is>
      </c>
    </row>
    <row r="97" ht="15.75" customHeight="1" s="93">
      <c r="A97" s="92" t="inlineStr">
        <is>
          <t>Ginger beer — $/can</t>
        </is>
      </c>
      <c r="B97" s="92" t="n">
        <v>1.25</v>
      </c>
      <c r="C97" s="92" t="inlineStr">
        <is>
          <t>Bundaberg/Cock'n Bull style; buy by the 4-pack or case.</t>
        </is>
      </c>
    </row>
    <row r="98" ht="15.75" customHeight="1" s="93">
      <c r="A98" s="92" t="inlineStr">
        <is>
          <t>Kombucha Mule — simple syrup oz/serving — RETIRED (agave, B131)</t>
        </is>
      </c>
      <c r="B98" s="92" t="n">
        <v>0</v>
      </c>
      <c r="C98" s="92" t="inlineStr">
        <is>
          <t>Zeroed when agave replaced the sugar in the SCOBY-Dew build. Set back above 0 to revive it.</t>
        </is>
      </c>
    </row>
    <row r="99" ht="15.75" customHeight="1" s="93">
      <c r="A99" s="92" t="inlineStr">
        <is>
          <t>Lemon — juice yield oz/lemon</t>
        </is>
      </c>
      <c r="B99" s="92" t="n">
        <v>1.5</v>
      </c>
      <c r="C99" s="92" t="inlineStr">
        <is>
          <t>~1.5oz juice from an average lemon.</t>
        </is>
      </c>
    </row>
    <row r="100" ht="15.75" customHeight="1" s="93">
      <c r="A100" s="92" t="inlineStr">
        <is>
          <t>Lemon — $/each</t>
        </is>
      </c>
      <c r="B100" s="92" t="n">
        <v>0.6</v>
      </c>
      <c r="C100" s="92" t="inlineStr">
        <is>
          <t>Loose or by the bag.</t>
        </is>
      </c>
    </row>
    <row r="101" ht="15.75" customHeight="1" s="93"/>
    <row r="102" ht="15.75" customHeight="1" s="93">
      <c r="A102" s="102" t="inlineStr">
        <is>
          <t>MICHELADA &amp; TANG DYNASTY BUILDS — extras itemized</t>
        </is>
      </c>
    </row>
    <row r="103" ht="15.75" customHeight="1" s="93">
      <c r="A103" s="92" t="inlineStr">
        <is>
          <t>Clamato — oz/bottle</t>
        </is>
      </c>
      <c r="B103" s="92" t="n">
        <v>64</v>
      </c>
      <c r="C103" s="92" t="inlineStr">
        <is>
          <t>Large bottle.</t>
        </is>
      </c>
    </row>
    <row r="104" ht="15.75" customHeight="1" s="93">
      <c r="A104" s="92" t="inlineStr">
        <is>
          <t>Clamato — $/bottle</t>
        </is>
      </c>
      <c r="B104" s="92" t="n">
        <v>5</v>
      </c>
    </row>
    <row r="105" ht="15.75" customHeight="1" s="93">
      <c r="A105" s="92" t="inlineStr">
        <is>
          <t>Michelada — hot sauce oz/serving</t>
        </is>
      </c>
      <c r="B105" s="92" t="n">
        <v>0.25</v>
      </c>
      <c r="C105" s="92" t="inlineStr">
        <is>
          <t>Valentina / Tapatio style.</t>
        </is>
      </c>
    </row>
    <row r="106" ht="15.75" customHeight="1" s="93">
      <c r="A106" s="92" t="inlineStr">
        <is>
          <t>Hot sauce — oz/bottle</t>
        </is>
      </c>
      <c r="B106" s="92" t="n">
        <v>12</v>
      </c>
    </row>
    <row r="107" ht="15.75" customHeight="1" s="93">
      <c r="A107" s="92" t="inlineStr">
        <is>
          <t>Hot sauce — $/bottle</t>
        </is>
      </c>
      <c r="B107" s="92" t="n">
        <v>3</v>
      </c>
    </row>
    <row r="108" ht="15.75" customHeight="1" s="93">
      <c r="A108" s="92" t="inlineStr">
        <is>
          <t>Tajin rim — oz/serving</t>
        </is>
      </c>
      <c r="B108" s="92" t="n">
        <v>0.1</v>
      </c>
      <c r="C108" s="92" t="inlineStr">
        <is>
          <t>~2g per rim. Applies to every rimmed drink: Michelada, A Ginger's Pickle, Catboy Piss and Shirley Temple of Doom (Other Consumables B42).</t>
        </is>
      </c>
    </row>
    <row r="109" ht="15.75" customHeight="1" s="93">
      <c r="A109" s="92" t="inlineStr">
        <is>
          <t>Tajin — oz/shaker</t>
        </is>
      </c>
      <c r="B109" s="92" t="n">
        <v>5</v>
      </c>
    </row>
    <row r="110" ht="15.75" customHeight="1" s="93">
      <c r="A110" s="92" t="inlineStr">
        <is>
          <t>Tajin — $/shaker</t>
        </is>
      </c>
      <c r="B110" s="92" t="n">
        <v>4</v>
      </c>
    </row>
    <row r="111" ht="15.75" customHeight="1" s="93">
      <c r="A111" s="92" t="inlineStr">
        <is>
          <t>Lime — juice yield oz/lime</t>
        </is>
      </c>
      <c r="B111" s="92" t="n">
        <v>1</v>
      </c>
      <c r="C111" s="92" t="inlineStr">
        <is>
          <t>~1oz juice from an average lime.</t>
        </is>
      </c>
    </row>
    <row r="112" ht="15.75" customHeight="1" s="93">
      <c r="A112" s="92" t="inlineStr">
        <is>
          <t>Lime — $/each</t>
        </is>
      </c>
      <c r="B112" s="92" t="n">
        <v>0.35</v>
      </c>
      <c r="C112" s="92" t="inlineStr">
        <is>
          <t>Loose or by the bag.</t>
        </is>
      </c>
    </row>
    <row r="113" ht="15.75" customHeight="1" s="93">
      <c r="A113" s="92" t="inlineStr">
        <is>
          <t>Tang Dynasty — lime squeeze oz/serving</t>
        </is>
      </c>
      <c r="B113" s="92" t="n">
        <v>0.5</v>
      </c>
      <c r="C113" s="92" t="inlineStr">
        <is>
          <t>The Recipes row 3 ingredient slots are full (tangerine juice + passion fruit puree), so the lime squeeze is sized from this input instead.</t>
        </is>
      </c>
    </row>
    <row r="114" ht="15.75" customHeight="1" s="93">
      <c r="A114" s="102" t="inlineStr">
        <is>
          <t>DAILY JUG — derived from B68</t>
        </is>
      </c>
    </row>
    <row r="115" ht="15.75" customHeight="1" s="93">
      <c r="A115" s="92" t="inlineStr">
        <is>
          <t>Daily jug size (oz)</t>
        </is>
      </c>
      <c r="B115" s="103">
        <f>B68*33.814</f>
        <v/>
      </c>
      <c r="C115" s="92" t="inlineStr">
        <is>
          <t>1 L = 33.814 fl oz.</t>
        </is>
      </c>
    </row>
    <row r="116" ht="15.75" customHeight="1" s="93">
      <c r="A116" s="92" t="inlineStr">
        <is>
          <t>Jug serving size (oz)</t>
        </is>
      </c>
      <c r="B116" s="103" t="n">
        <v>10</v>
      </c>
      <c r="C116" s="92" t="inlineStr">
        <is>
          <t>Pour size for the nightly special.</t>
        </is>
      </c>
    </row>
    <row r="117" ht="15.75" customHeight="1" s="93">
      <c r="A117" s="92" t="inlineStr">
        <is>
          <t>Servings per jug</t>
        </is>
      </c>
      <c r="B117" s="104">
        <f>FLOOR(B115/B116,1)</f>
        <v/>
      </c>
      <c r="C117" s="92" t="inlineStr">
        <is>
          <t>Drives 'Daily Schedule' E4:E15 — one batch per night Sun-Sat, except Wednesday (E7), which is a 3-jug/99-serving batch for the next-door party overflow.</t>
        </is>
      </c>
    </row>
    <row r="118" ht="15.75" customHeight="1" s="93">
      <c r="A118" s="92" t="inlineStr">
        <is>
          <t>Catboy Café — passion fruit purée oz/serving</t>
        </is>
      </c>
      <c r="B118" s="92" t="n">
        <v>0.5</v>
      </c>
      <c r="C118" s="92" t="inlineStr">
        <is>
          <t>Added to the built Catboy Café Green Tea. Orange juice (3oz) and sakura syrup (0.5oz) are per-serving amounts on Recipes row 14.</t>
        </is>
      </c>
    </row>
    <row r="119" ht="15.75" customHeight="1" s="93">
      <c r="A119" s="102" t="inlineStr">
        <is>
          <t>KEG POUR SIZING</t>
        </is>
      </c>
    </row>
    <row r="120" ht="15.75" customHeight="1" s="93">
      <c r="A120" s="92" t="inlineStr">
        <is>
          <t>Keg pour size (oz)</t>
        </is>
      </c>
      <c r="B120" s="92" t="n">
        <v>8</v>
      </c>
      <c r="C120" s="92" t="inlineStr">
        <is>
          <t>Playa pours — smaller cup, more servings per keg, less waste when someone wanders off.</t>
        </is>
      </c>
    </row>
    <row r="121" ht="15.75" customHeight="1" s="93">
      <c r="A121" s="92" t="inlineStr">
        <is>
          <t>Keg loss allowance (oz/keg)</t>
        </is>
      </c>
      <c r="B121" s="92" t="n">
        <v>40</v>
      </c>
      <c r="C121" s="92" t="inlineStr">
        <is>
          <t>Foam, line loss and the first pull; ~6% of a 5-gal keg.</t>
        </is>
      </c>
    </row>
    <row r="122" ht="15.75" customHeight="1" s="93">
      <c r="A122" s="92" t="inlineStr">
        <is>
          <t>Cucumber — oz/each</t>
        </is>
      </c>
      <c r="B122" s="92" t="n">
        <v>10</v>
      </c>
      <c r="C122" s="92" t="inlineStr">
        <is>
          <t>Standard slicing cucumber; 0.75 oz per drink is ~2-3 slices.</t>
        </is>
      </c>
    </row>
    <row r="123" ht="15.75" customHeight="1" s="93">
      <c r="A123" s="92" t="inlineStr">
        <is>
          <t>Cucumber — $/each</t>
        </is>
      </c>
      <c r="B123" s="92" t="n">
        <v>1</v>
      </c>
    </row>
    <row r="124" ht="15.75" customHeight="1" s="93">
      <c r="A124" s="92" t="inlineStr">
        <is>
          <t>Dried hibiscus — oz/serving (Red Flag)</t>
        </is>
      </c>
      <c r="B124" s="92" t="n">
        <v>0.08500000000000001</v>
      </c>
      <c r="C124" s="92" t="inlineStr">
        <is>
          <t>~2.8 oz of dried flowers per 10 L jug. Steep hot and cool, or cold-steep overnight.</t>
        </is>
      </c>
    </row>
    <row r="125" ht="15.75" customHeight="1" s="93">
      <c r="A125" s="92" t="inlineStr">
        <is>
          <t>Dried hibiscus — oz/bag</t>
        </is>
      </c>
      <c r="B125" s="92" t="n">
        <v>16</v>
      </c>
    </row>
    <row r="126" ht="15.75" customHeight="1" s="93">
      <c r="A126" s="92" t="inlineStr">
        <is>
          <t>Dried hibiscus — $/lb bag</t>
        </is>
      </c>
      <c r="B126" s="92" t="n">
        <v>11</v>
      </c>
    </row>
    <row r="127" ht="15.75" customHeight="1" s="93">
      <c r="A127" s="102" t="inlineStr">
        <is>
          <t>SCOBY-DEW — ADDED INGREDIENTS</t>
        </is>
      </c>
    </row>
    <row r="128" ht="15.75" customHeight="1" s="93">
      <c r="A128" s="92" t="inlineStr">
        <is>
          <t>Apple cider vinegar — oz/serving</t>
        </is>
      </c>
      <c r="B128" s="92" t="n">
        <v>0.25</v>
      </c>
      <c r="C128" s="92" t="inlineStr">
        <is>
          <t>Raw/unfiltered. Sharp — start here and taste.</t>
        </is>
      </c>
    </row>
    <row r="129" ht="15.75" customHeight="1" s="93">
      <c r="A129" s="92" t="inlineStr">
        <is>
          <t>Apple cider vinegar — oz/bottle</t>
        </is>
      </c>
      <c r="B129" s="92" t="n">
        <v>32</v>
      </c>
    </row>
    <row r="130" ht="15.75" customHeight="1" s="93">
      <c r="A130" s="92" t="inlineStr">
        <is>
          <t>Apple cider vinegar — $/bottle</t>
        </is>
      </c>
      <c r="B130" s="92" t="n">
        <v>5</v>
      </c>
    </row>
    <row r="131" ht="15.75" customHeight="1" s="93">
      <c r="A131" s="92" t="inlineStr">
        <is>
          <t>Agave syrup — oz/serving</t>
        </is>
      </c>
      <c r="B131" s="92" t="n">
        <v>0.25</v>
      </c>
      <c r="C131" s="92" t="inlineStr">
        <is>
          <t>Sweetener for the SCOBY-Dew build — this replaced the 0.25 oz of simple syrup that used to be in it (B98, now zeroed). Slightly sweeter than the original; drop to ~0.17 to match exactly.</t>
        </is>
      </c>
    </row>
    <row r="132" ht="15.75" customHeight="1" s="93">
      <c r="A132" s="92" t="inlineStr">
        <is>
          <t>Agave syrup — oz/bottle</t>
        </is>
      </c>
      <c r="B132" s="92" t="n">
        <v>23.5</v>
      </c>
    </row>
    <row r="133" ht="15.75" customHeight="1" s="93">
      <c r="A133" s="92" t="inlineStr">
        <is>
          <t>Agave syrup — $/bottle</t>
        </is>
      </c>
      <c r="B133" s="92" t="n">
        <v>9</v>
      </c>
    </row>
    <row r="134" ht="15.75" customHeight="1" s="93">
      <c r="A134" s="102" t="inlineStr">
        <is>
          <t>CAMP DRINKS (not bar service)</t>
        </is>
      </c>
    </row>
    <row r="135" ht="15.75" customHeight="1" s="93">
      <c r="A135" s="92" t="inlineStr">
        <is>
          <t>Suan mei tang — gallons to make</t>
        </is>
      </c>
      <c r="B135" s="92" t="n">
        <v>5</v>
      </c>
      <c r="C135" s="92" t="inlineStr">
        <is>
          <t>Sour plum drink; smoked plum + hawthorn + licorice.</t>
        </is>
      </c>
    </row>
    <row r="136" ht="15.75" customHeight="1" s="93">
      <c r="A136" s="92" t="inlineStr">
        <is>
          <t>Suan mei tang — gallons per packet</t>
        </is>
      </c>
      <c r="B136" s="92" t="n">
        <v>0.66</v>
      </c>
      <c r="C136" s="92" t="inlineStr">
        <is>
          <t>~2.5 L per dried ingredient packet.</t>
        </is>
      </c>
    </row>
    <row r="137" ht="15.75" customHeight="1" s="93">
      <c r="A137" s="92" t="inlineStr">
        <is>
          <t>Suan mei tang — $/packet</t>
        </is>
      </c>
      <c r="B137" s="92" t="n">
        <v>5</v>
      </c>
    </row>
    <row r="138" ht="15.75" customHeight="1" s="93">
      <c r="A138" s="92" t="inlineStr">
        <is>
          <t>Mugicha — gallons to make</t>
        </is>
      </c>
      <c r="B138" s="92" t="n">
        <v>5</v>
      </c>
      <c r="C138" s="92" t="inlineStr">
        <is>
          <t>Roasted barley tea, served ice cold, unsweetened.</t>
        </is>
      </c>
    </row>
    <row r="139" ht="15.75" customHeight="1" s="93">
      <c r="A139" s="92" t="inlineStr">
        <is>
          <t>Mugicha — teabags per gallon</t>
        </is>
      </c>
      <c r="B139" s="92" t="n">
        <v>4</v>
      </c>
      <c r="C139" s="92" t="inlineStr">
        <is>
          <t>~1 bag per litre.</t>
        </is>
      </c>
    </row>
    <row r="140" ht="15.75" customHeight="1" s="93">
      <c r="A140" s="92" t="inlineStr">
        <is>
          <t>Mugicha — teabags per box</t>
        </is>
      </c>
      <c r="B140" s="92" t="n">
        <v>54</v>
      </c>
    </row>
    <row r="141" ht="15.75" customHeight="1" s="93">
      <c r="A141" s="92" t="inlineStr">
        <is>
          <t>Mugicha — $/box</t>
        </is>
      </c>
      <c r="B141" s="92" t="n">
        <v>10</v>
      </c>
    </row>
    <row r="142" ht="15.75" customHeight="1" s="93">
      <c r="A142" s="92" t="inlineStr">
        <is>
          <t>Lapsang souchong — oz/serving (dry leaf)</t>
        </is>
      </c>
      <c r="B142" s="92" t="n">
        <v>0.06</v>
      </c>
      <c r="C142" s="92" t="inlineStr">
        <is>
          <t>~2 oz of dry leaf per 10 L jug. Steep STRONG then cut with lemonade.</t>
        </is>
      </c>
    </row>
    <row r="143" ht="15.75" customHeight="1" s="93">
      <c r="A143" s="92" t="inlineStr">
        <is>
          <t>Lapsang souchong — oz/bag</t>
        </is>
      </c>
      <c r="B143" s="92" t="n">
        <v>4</v>
      </c>
    </row>
    <row r="144" ht="15.75" customHeight="1" s="93">
      <c r="A144" s="92" t="inlineStr">
        <is>
          <t>Lapsang souchong — $/bag</t>
        </is>
      </c>
      <c r="B144" s="92" t="n">
        <v>12</v>
      </c>
    </row>
    <row r="145" ht="15.75" customHeight="1" s="93">
      <c r="A145" s="92" t="inlineStr">
        <is>
          <t>Clear Mind kombucha keg — $/keg</t>
        </is>
      </c>
      <c r="B145" s="92" t="n">
        <v>130</v>
      </c>
      <c r="C145" s="92" t="inlineStr">
        <is>
          <t>Brew Dr. Clear Mind — rosemary, mint, sage, green tea. Feeds the built Clear Cache.</t>
        </is>
      </c>
    </row>
    <row r="146" ht="15.75" customHeight="1" s="93">
      <c r="A146" s="102" t="inlineStr">
        <is>
          <t>CATBOY SNOT — SATURDAY BUILD (Recipes row 16)</t>
        </is>
      </c>
    </row>
    <row r="147" ht="15.75" customHeight="1" s="93">
      <c r="A147" s="92" t="inlineStr">
        <is>
          <t>Aloe vera juice — oz/serving</t>
        </is>
      </c>
      <c r="B147" s="92" t="n">
        <v>2</v>
      </c>
      <c r="C147" s="92" t="inlineStr">
        <is>
          <t>Spooned in WITH the pulp cubes — the cubes are the whole point. Buy DRINKING aloe (inner-fillet, decolorized: OKF Aloe Vera King, Grace, Alo). Whole-leaf/supplement aloe contains aloin and is a laxative — wrong product, bad day.</t>
        </is>
      </c>
    </row>
    <row r="148" ht="15.75" customHeight="1" s="93">
      <c r="A148" s="92" t="inlineStr">
        <is>
          <t>Aloe vera juice — oz/bottle</t>
        </is>
      </c>
      <c r="B148" s="92" t="n">
        <v>50.7</v>
      </c>
      <c r="C148" s="92" t="inlineStr">
        <is>
          <t>1.5 L bottle. Shelf-stable unopened; refrigerate nothing until it is opened.</t>
        </is>
      </c>
    </row>
    <row r="149" ht="15.75" customHeight="1" s="93">
      <c r="A149" s="92" t="inlineStr">
        <is>
          <t>Aloe vera juice — $/bottle</t>
        </is>
      </c>
      <c r="B149" s="92" t="n">
        <v>4</v>
      </c>
    </row>
    <row r="150" ht="15.75" customHeight="1" s="93">
      <c r="A150" s="92" t="inlineStr">
        <is>
          <t>Basil seeds (sabja) — oz/serving — OPTIONAL</t>
        </is>
      </c>
      <c r="B150" s="92" t="n">
        <v>0.05</v>
      </c>
      <c r="C150" s="92" t="inlineStr">
        <is>
          <t>OPTIONAL. ~1/4 tsp dry, hydrated in water ahead of service — swells into suspended globs. Set to 0 if they are a hassle to source; the aloe pulp already carries the texture.</t>
        </is>
      </c>
    </row>
    <row r="151" ht="15.75" customHeight="1" s="93">
      <c r="A151" s="92" t="inlineStr">
        <is>
          <t>Basil seeds — oz/bag</t>
        </is>
      </c>
      <c r="B151" s="92" t="n">
        <v>3.5</v>
      </c>
      <c r="C151" s="92" t="inlineStr">
        <is>
          <t>100 g bag.</t>
        </is>
      </c>
    </row>
    <row r="152" ht="15.75" customHeight="1" s="93">
      <c r="A152" s="92" t="inlineStr">
        <is>
          <t>Basil seeds — $/bag</t>
        </is>
      </c>
      <c r="B152" s="92" t="n">
        <v>7</v>
      </c>
    </row>
    <row r="153" ht="15.75" customHeight="1" s="93">
      <c r="A153" s="102" t="inlineStr">
        <is>
          <t>SHIRLEY VARIANTS (Recipes rows 17-18)</t>
        </is>
      </c>
    </row>
    <row r="154" ht="15.75" customHeight="1" s="93">
      <c r="A154" s="92" t="inlineStr">
        <is>
          <t>Shirley Mule — lime squeeze oz/serving</t>
        </is>
      </c>
      <c r="B154" s="92" t="n">
        <v>0.5</v>
      </c>
      <c r="C154" s="92" t="inlineStr">
        <is>
          <t>Recipes row 19's two ingredient slots are full (cherry syrup + ginger beer), so the lime squeeze is sized from this input instead — same pattern as B113 for Tang Dynasty.</t>
        </is>
      </c>
    </row>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999" ht="15.75" customHeight="1" s="93"/>
    <row r="1000" ht="15.75" customHeight="1" s="93"/>
  </sheetData>
  <mergeCells count="5">
    <mergeCell ref="A1:D1"/>
    <mergeCell ref="A31:D31"/>
    <mergeCell ref="A3:D3"/>
    <mergeCell ref="A38:D38"/>
    <mergeCell ref="A15:D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4296875" defaultRowHeight="15" zeroHeight="0" outlineLevelRow="0"/>
  <cols>
    <col width="50" customWidth="1" style="92" min="1" max="1"/>
    <col width="22" customWidth="1" style="92" min="2" max="2"/>
    <col width="12" customWidth="1" style="92" min="3" max="3"/>
    <col width="15" customWidth="1" style="92" min="4" max="4"/>
    <col width="12" customWidth="1" style="92" min="5" max="5"/>
    <col width="14" customWidth="1" style="92" min="6" max="6"/>
    <col width="17" customWidth="1" style="92" min="7" max="7"/>
  </cols>
  <sheetData>
    <row r="1" ht="17.25" customHeight="1" s="93">
      <c r="A1" s="105" t="inlineStr">
        <is>
          <t>Drink Totals &amp; Cost by Section</t>
        </is>
      </c>
    </row>
    <row r="3" ht="31.5" customHeight="1" s="93">
      <c r="A3" s="106"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5" ht="15" customHeight="1" s="93">
      <c r="A5" s="102" t="inlineStr">
        <is>
          <t>A. DRINKS BY TYPE</t>
        </is>
      </c>
    </row>
    <row r="6" ht="25.5" customHeight="1" s="93">
      <c r="A6" s="107" t="inlineStr">
        <is>
          <t>Drink type</t>
        </is>
      </c>
      <c r="B6" s="107" t="inlineStr">
        <is>
          <t>Drinks</t>
        </is>
      </c>
      <c r="C6" s="107" t="inlineStr">
        <is>
          <t>Share</t>
        </is>
      </c>
      <c r="D6" s="107" t="inlineStr">
        <is>
          <t>Cost</t>
        </is>
      </c>
      <c r="E6" s="107" t="inlineStr">
        <is>
          <t>$ / drink</t>
        </is>
      </c>
      <c r="F6" s="107" t="n"/>
      <c r="G6" s="107" t="n"/>
    </row>
    <row r="7" ht="15" customHeight="1" s="93">
      <c r="A7" s="108" t="inlineStr">
        <is>
          <t>Keg — poured straight from tap</t>
        </is>
      </c>
      <c r="B7" s="109">
        <f>Kegs!$C$13</f>
        <v/>
      </c>
      <c r="C7" s="110">
        <f>B7/$B$11</f>
        <v/>
      </c>
      <c r="D7" s="111">
        <f>D49</f>
        <v/>
      </c>
      <c r="E7" s="111">
        <f>D7/B7</f>
        <v/>
      </c>
      <c r="F7" s="108" t="n"/>
      <c r="G7" s="108" t="n"/>
    </row>
    <row r="8" ht="15" customHeight="1" s="93">
      <c r="A8" s="108" t="inlineStr">
        <is>
          <t>Jug — nightly 10 L daily special</t>
        </is>
      </c>
      <c r="B8" s="109">
        <f>SUM('Daily Schedule'!$E$4:$E$15)</f>
        <v/>
      </c>
      <c r="C8" s="110">
        <f>B8/$B$11</f>
        <v/>
      </c>
      <c r="D8" s="111">
        <f>E49</f>
        <v/>
      </c>
      <c r="E8" s="111">
        <f>D8/B8</f>
        <v/>
      </c>
      <c r="F8" s="108" t="n"/>
      <c r="G8" s="108" t="n"/>
    </row>
    <row r="9" ht="15" customHeight="1" s="93">
      <c r="A9" s="108" t="inlineStr">
        <is>
          <t>Dirty soda — BUILT off a keg</t>
        </is>
      </c>
      <c r="B9" s="109">
        <f>(Recipes!$B$3+Recipes!$B$4+Recipes!$B$11+Recipes!$B$13+Recipes!$B$14)</f>
        <v/>
      </c>
      <c r="C9" s="110">
        <f>B9/$B$11</f>
        <v/>
      </c>
      <c r="D9" s="111">
        <f>F49</f>
        <v/>
      </c>
      <c r="E9" s="111">
        <f>D9/B9</f>
        <v/>
      </c>
      <c r="F9" s="108" t="n"/>
      <c r="G9" s="108" t="n"/>
    </row>
    <row r="10" ht="15" customHeight="1" s="93">
      <c r="A10" s="108" t="inlineStr">
        <is>
          <t>Dirty soda — canned base</t>
        </is>
      </c>
      <c r="B10" s="109">
        <f>Recipes!$B$19-(Recipes!$B$3+Recipes!$B$4+Recipes!$B$11+Recipes!$B$13+Recipes!$B$14)</f>
        <v/>
      </c>
      <c r="C10" s="110">
        <f>B10/$B$11</f>
        <v/>
      </c>
      <c r="D10" s="111">
        <f>G49</f>
        <v/>
      </c>
      <c r="E10" s="111">
        <f>D10/B10</f>
        <v/>
      </c>
      <c r="F10" s="108" t="n"/>
      <c r="G10" s="108" t="n"/>
    </row>
    <row r="11" ht="15" customHeight="1" s="93">
      <c r="A11" s="112" t="inlineStr">
        <is>
          <t>TOTAL DRINKS / DIRECTLY ATTRIBUTED COST</t>
        </is>
      </c>
      <c r="B11" s="113">
        <f>SUM(B7:B10)</f>
        <v/>
      </c>
      <c r="C11" s="114">
        <f>SUM(C7:C10)</f>
        <v/>
      </c>
      <c r="D11" s="115">
        <f>SUM(D7:D10)</f>
        <v/>
      </c>
      <c r="E11" s="115">
        <f>D11/B11</f>
        <v/>
      </c>
      <c r="F11" s="112" t="n"/>
      <c r="G11" s="112" t="n"/>
    </row>
    <row r="12" ht="15" customHeight="1" s="93">
      <c r="A12" s="108" t="inlineStr">
        <is>
          <t>Shared cost — not tied to one drink type</t>
        </is>
      </c>
      <c r="B12" s="108" t="n"/>
      <c r="C12" s="108" t="n"/>
      <c r="D12" s="111">
        <f>D29+D30+D31+D32+D33</f>
        <v/>
      </c>
      <c r="E12" s="108" t="n"/>
      <c r="F12" s="108" t="n"/>
      <c r="G12" s="108" t="n"/>
    </row>
    <row r="13" ht="15" customHeight="1" s="93">
      <c r="A13" s="112" t="inlineStr">
        <is>
          <t>TOTAL PROGRAM COST (excl. refundable deposits)</t>
        </is>
      </c>
      <c r="B13" s="112" t="n"/>
      <c r="C13" s="112" t="n"/>
      <c r="D13" s="115">
        <f>D11+D12</f>
        <v/>
      </c>
      <c r="E13" s="115">
        <f>D13/B11</f>
        <v/>
      </c>
      <c r="F13" s="112" t="n"/>
      <c r="G13" s="112" t="n"/>
    </row>
    <row r="15" ht="45.75" customHeight="1" s="93">
      <c r="A15" s="106" t="inlineStr">
        <is>
          <t>The four built drinks (Michelada, SCOBY-Dew, Tang Dynasty, Sakura Kisses, Clear Cache) pour off a keg but are counted here as dirty sodas, because that is where their build cost sits — so they get their own row. Kombucha kegs: 40 Tang + 40 SCOBY-Dew + the rest straight. Mexican Lager: 30 Michelada + rest straight. Green tea: 33 Sakura Kisses + rest straight. Every keg row subtracts its built drinks, so nothing is double-counted, and Section C charges built drinks the same per-serving keg cost as a straight pour.</t>
        </is>
      </c>
    </row>
    <row r="17" ht="15" customHeight="1" s="93">
      <c r="A17" s="102" t="inlineStr">
        <is>
          <t>B. COST BY SECTION — straight from the Purchase List categories</t>
        </is>
      </c>
    </row>
    <row r="18" ht="25.5" customHeight="1" s="93">
      <c r="A18" s="107" t="inlineStr">
        <is>
          <t>Section</t>
        </is>
      </c>
      <c r="B18" s="107" t="inlineStr">
        <is>
          <t>Purchase List category</t>
        </is>
      </c>
      <c r="C18" s="107" t="inlineStr">
        <is>
          <t>Share</t>
        </is>
      </c>
      <c r="D18" s="107" t="inlineStr">
        <is>
          <t>Cost</t>
        </is>
      </c>
      <c r="E18" s="107" t="inlineStr">
        <is>
          <t>$ / drink</t>
        </is>
      </c>
      <c r="F18" s="107" t="inlineStr">
        <is>
          <t>Rolls up to</t>
        </is>
      </c>
      <c r="G18" s="107" t="n"/>
    </row>
    <row r="19" ht="25.5" customHeight="1" s="93">
      <c r="A19" s="108" t="inlineStr">
        <is>
          <t>Base soda, lemonade, horchata &amp; soda water</t>
        </is>
      </c>
      <c r="B19" s="116" t="inlineStr">
        <is>
          <t>Soda</t>
        </is>
      </c>
      <c r="C19" s="110">
        <f>D19/$D$34</f>
        <v/>
      </c>
      <c r="D19" s="111">
        <f>SUMIF('Purchase List'!$C$5:$C$73,"Soda",'Purchase List'!$F$5:$F$73)</f>
        <v/>
      </c>
      <c r="E19" s="111">
        <f>D19/$B$11</f>
        <v/>
      </c>
      <c r="F19" s="117" t="inlineStr">
        <is>
          <t>Jug + canned dirty soda</t>
        </is>
      </c>
      <c r="G19" s="108" t="n"/>
    </row>
    <row r="20" ht="15" customHeight="1" s="93">
      <c r="A20" s="108" t="inlineStr">
        <is>
          <t>Syrups &amp; fruit purees</t>
        </is>
      </c>
      <c r="B20" s="116" t="inlineStr">
        <is>
          <t>Syrup</t>
        </is>
      </c>
      <c r="C20" s="110">
        <f>D20/$D$34</f>
        <v/>
      </c>
      <c r="D20" s="111">
        <f>SUMIF('Purchase List'!$C$5:$C$73,"Syrup",'Purchase List'!$F$5:$F$73)</f>
        <v/>
      </c>
      <c r="E20" s="111">
        <f>D20/$B$11</f>
        <v/>
      </c>
      <c r="F20" s="117" t="inlineStr">
        <is>
          <t>Jug + built + canned</t>
        </is>
      </c>
      <c r="G20" s="108" t="n"/>
    </row>
    <row r="21" ht="25.5" customHeight="1" s="93">
      <c r="A21" s="108" t="inlineStr">
        <is>
          <t>Cream of coconut</t>
        </is>
      </c>
      <c r="B21" s="116" t="inlineStr">
        <is>
          <t>Dairy/cream</t>
        </is>
      </c>
      <c r="C21" s="110">
        <f>D21/$D$34</f>
        <v/>
      </c>
      <c r="D21" s="111">
        <f>SUMIF('Purchase List'!$C$5:$C$73,"Dairy/cream",'Purchase List'!$F$5:$F$73)</f>
        <v/>
      </c>
      <c r="E21" s="111">
        <f>D21/$B$11</f>
        <v/>
      </c>
      <c r="F21" s="117" t="inlineStr">
        <is>
          <t>Jug + canned dirty soda</t>
        </is>
      </c>
      <c r="G21" s="108" t="n"/>
    </row>
    <row r="22" ht="15" customHeight="1" s="93">
      <c r="A22" s="108" t="inlineStr">
        <is>
          <t>Built-drink extras + rim salt</t>
        </is>
      </c>
      <c r="B22" s="116" t="inlineStr">
        <is>
          <t>Built drink</t>
        </is>
      </c>
      <c r="C22" s="110">
        <f>D22/$D$34</f>
        <v/>
      </c>
      <c r="D22" s="111">
        <f>SUMIF('Purchase List'!$C$5:$C$73,"Built drink",'Purchase List'!$F$5:$F$73)</f>
        <v/>
      </c>
      <c r="E22" s="111">
        <f>D22/$B$11</f>
        <v/>
      </c>
      <c r="F22" s="117" t="inlineStr">
        <is>
          <t>Built drinks</t>
        </is>
      </c>
      <c r="G22" s="108" t="n"/>
    </row>
    <row r="23" ht="15" customHeight="1" s="93">
      <c r="A23" s="108" t="inlineStr">
        <is>
          <t>Fresh produce (Thirst Trap cucumber + lime)</t>
        </is>
      </c>
      <c r="B23" s="116" t="inlineStr">
        <is>
          <t>Fresh produce</t>
        </is>
      </c>
      <c r="C23" s="110">
        <f>D23/$D$34</f>
        <v/>
      </c>
      <c r="D23" s="111">
        <f>SUMIF('Purchase List'!$C$5:$C$73,"Fresh produce",'Purchase List'!$F$5:$F$73)</f>
        <v/>
      </c>
      <c r="E23" s="111">
        <f>D23/$B$11</f>
        <v/>
      </c>
      <c r="F23" s="117" t="inlineStr">
        <is>
          <t>Canned dirty soda</t>
        </is>
      </c>
      <c r="G23" s="108" t="n"/>
    </row>
    <row r="24" ht="15" customHeight="1" s="93">
      <c r="A24" s="108" t="inlineStr">
        <is>
          <t>Kegs (cider, kombucha x3, ales, lager, green tea)</t>
        </is>
      </c>
      <c r="B24" s="116" t="inlineStr">
        <is>
          <t>Keg</t>
        </is>
      </c>
      <c r="C24" s="110">
        <f>D24/$D$34</f>
        <v/>
      </c>
      <c r="D24" s="111">
        <f>SUMIF('Purchase List'!$C$5:$C$73,"Keg",'Purchase List'!$F$5:$F$73)</f>
        <v/>
      </c>
      <c r="E24" s="111">
        <f>D24/$B$11</f>
        <v/>
      </c>
      <c r="F24" s="117" t="inlineStr">
        <is>
          <t>Keg + built drinks</t>
        </is>
      </c>
      <c r="G24" s="108" t="n"/>
    </row>
    <row r="25" ht="15" customHeight="1" s="93">
      <c r="A25" s="108" t="inlineStr">
        <is>
          <t>Keg add-ons (aloe, lychee)</t>
        </is>
      </c>
      <c r="B25" s="116" t="inlineStr">
        <is>
          <t>Keg add-on</t>
        </is>
      </c>
      <c r="C25" s="110">
        <f>D25/$D$34</f>
        <v/>
      </c>
      <c r="D25" s="111">
        <f>SUMIF('Purchase List'!$C$5:$C$73,"Keg add-on",'Purchase List'!$F$5:$F$73)</f>
        <v/>
      </c>
      <c r="E25" s="111">
        <f>D25/$B$11</f>
        <v/>
      </c>
      <c r="F25" s="117" t="inlineStr">
        <is>
          <t>Keg</t>
        </is>
      </c>
      <c r="G25" s="108" t="n"/>
    </row>
    <row r="26" ht="15" customHeight="1" s="93">
      <c r="A26" s="108" t="inlineStr">
        <is>
          <t>Jockey box rental, CO2, lines</t>
        </is>
      </c>
      <c r="B26" s="116" t="inlineStr">
        <is>
          <t>Rental/gas</t>
        </is>
      </c>
      <c r="C26" s="110">
        <f>D26/$D$34</f>
        <v/>
      </c>
      <c r="D26" s="111">
        <f>SUMIF('Purchase List'!$C$5:$C$73,"Rental/gas",'Purchase List'!$F$5:$F$73)</f>
        <v/>
      </c>
      <c r="E26" s="111">
        <f>D26/$B$11</f>
        <v/>
      </c>
      <c r="F26" s="117" t="inlineStr">
        <is>
          <t>Keg + built drinks</t>
        </is>
      </c>
      <c r="G26" s="108" t="n"/>
    </row>
    <row r="27" ht="15" customHeight="1" s="93">
      <c r="A27" s="108" t="inlineStr">
        <is>
          <t>Ice tubs for the live kegs</t>
        </is>
      </c>
      <c r="B27" s="116" t="inlineStr">
        <is>
          <t>Hardware</t>
        </is>
      </c>
      <c r="C27" s="110">
        <f>D27/$D$34</f>
        <v/>
      </c>
      <c r="D27" s="111">
        <f>SUMIF('Purchase List'!$C$5:$C$73,"Hardware",'Purchase List'!$F$5:$F$73)</f>
        <v/>
      </c>
      <c r="E27" s="111">
        <f>D27/$B$11</f>
        <v/>
      </c>
      <c r="F27" s="117" t="inlineStr">
        <is>
          <t>Keg + built drinks</t>
        </is>
      </c>
      <c r="G27" s="108" t="n"/>
    </row>
    <row r="28" ht="15" customHeight="1" s="93">
      <c r="A28" s="108" t="inlineStr">
        <is>
          <t>Daily special (jug) ingredients</t>
        </is>
      </c>
      <c r="B28" s="116" t="inlineStr">
        <is>
          <t>Daily Special</t>
        </is>
      </c>
      <c r="C28" s="110">
        <f>D28/$D$34</f>
        <v/>
      </c>
      <c r="D28" s="111">
        <f>SUMIF('Purchase List'!$C$5:$C$73,"Daily Special",'Purchase List'!$F$5:$F$73)</f>
        <v/>
      </c>
      <c r="E28" s="111">
        <f>D28/$B$11</f>
        <v/>
      </c>
      <c r="F28" s="117" t="inlineStr">
        <is>
          <t>Jug</t>
        </is>
      </c>
      <c r="G28" s="108" t="n"/>
    </row>
    <row r="29" ht="15" customHeight="1" s="93">
      <c r="A29" s="108" t="inlineStr">
        <is>
          <t>Liquor (optional add-on)</t>
        </is>
      </c>
      <c r="B29" s="116" t="inlineStr">
        <is>
          <t>Liquor</t>
        </is>
      </c>
      <c r="C29" s="110">
        <f>D29/$D$34</f>
        <v/>
      </c>
      <c r="D29" s="111">
        <f>SUMIF('Purchase List'!$C$5:$C$73,"Liquor",'Purchase List'!$F$5:$F$73)</f>
        <v/>
      </c>
      <c r="E29" s="111">
        <f>D29/$B$11</f>
        <v/>
      </c>
      <c r="F29" s="117" t="inlineStr">
        <is>
          <t>Shared</t>
        </is>
      </c>
      <c r="G29" s="108" t="n"/>
    </row>
    <row r="30" ht="15" customHeight="1" s="93">
      <c r="A30" s="108" t="inlineStr">
        <is>
          <t>Fresh garnish &amp; produce</t>
        </is>
      </c>
      <c r="B30" s="116" t="inlineStr">
        <is>
          <t>Garnish</t>
        </is>
      </c>
      <c r="C30" s="110">
        <f>D30/$D$34</f>
        <v/>
      </c>
      <c r="D30" s="111">
        <f>SUMIF('Purchase List'!$C$5:$C$73,"Garnish",'Purchase List'!$F$5:$F$73)</f>
        <v/>
      </c>
      <c r="E30" s="111">
        <f>D30/$B$11</f>
        <v/>
      </c>
      <c r="F30" s="117" t="inlineStr">
        <is>
          <t>Shared</t>
        </is>
      </c>
      <c r="G30" s="108" t="n"/>
    </row>
    <row r="31" ht="15" customHeight="1" s="93">
      <c r="A31" s="108" t="inlineStr">
        <is>
          <t>Misc — catch-all (nothing tagged Misc right now)</t>
        </is>
      </c>
      <c r="B31" s="116" t="inlineStr">
        <is>
          <t>Misc</t>
        </is>
      </c>
      <c r="C31" s="110">
        <f>D31/$D$34</f>
        <v/>
      </c>
      <c r="D31" s="111">
        <f>SUMIF('Purchase List'!$C$5:$C$73,"Misc",'Purchase List'!$F$5:$F$73)</f>
        <v/>
      </c>
      <c r="E31" s="111">
        <f>D31/$B$11</f>
        <v/>
      </c>
      <c r="F31" s="117" t="inlineStr">
        <is>
          <t>Shared</t>
        </is>
      </c>
      <c r="G31" s="108" t="n"/>
    </row>
    <row r="32" ht="25.5" customHeight="1" s="93">
      <c r="A32" s="108" t="inlineStr">
        <is>
          <t>Camp bulk (cold brew, electrolytes, suan mei tang, mugicha)</t>
        </is>
      </c>
      <c r="B32" s="116" t="inlineStr">
        <is>
          <t>Camp bulk</t>
        </is>
      </c>
      <c r="C32" s="110">
        <f>D32/$D$34</f>
        <v/>
      </c>
      <c r="D32" s="111">
        <f>SUMIF('Purchase List'!$C$5:$C$73,"Camp bulk",'Purchase List'!$F$5:$F$73)</f>
        <v/>
      </c>
      <c r="E32" s="111">
        <f>D32/$B$11</f>
        <v/>
      </c>
      <c r="F32" s="117" t="inlineStr">
        <is>
          <t>Shared — see Camp Drinks tab</t>
        </is>
      </c>
      <c r="G32" s="108" t="n"/>
    </row>
    <row r="33" ht="25.5" customHeight="1" s="93">
      <c r="A33" s="108" t="inlineStr">
        <is>
          <t>Bar add-ons (tonic, soda water, Red Bull, bitters)</t>
        </is>
      </c>
      <c r="B33" s="116" t="inlineStr">
        <is>
          <t>Add-on</t>
        </is>
      </c>
      <c r="C33" s="110">
        <f>D33/$D$34</f>
        <v/>
      </c>
      <c r="D33" s="111">
        <f>SUMIF('Purchase List'!$C$5:$C$73,"Add-on",'Purchase List'!$F$5:$F$73)</f>
        <v/>
      </c>
      <c r="E33" s="111">
        <f>D33/$B$11</f>
        <v/>
      </c>
      <c r="F33" s="117" t="inlineStr">
        <is>
          <t>Shared — see Bar Add-Ons tab</t>
        </is>
      </c>
      <c r="G33" s="108" t="n"/>
    </row>
    <row r="34" ht="15" customHeight="1" s="93">
      <c r="A34" s="112" t="inlineStr">
        <is>
          <t>PROGRAM TOTAL (excl. refundable deposits)</t>
        </is>
      </c>
      <c r="B34" s="112" t="n"/>
      <c r="C34" s="114">
        <f>SUM(C19:C33)</f>
        <v/>
      </c>
      <c r="D34" s="115">
        <f>SUM(D19:D33)</f>
        <v/>
      </c>
      <c r="E34" s="115">
        <f>D34/$B$11</f>
        <v/>
      </c>
      <c r="F34" s="112" t="n"/>
      <c r="G34" s="112" t="n"/>
    </row>
    <row r="36" ht="15" customHeight="1" s="93">
      <c r="A36" s="108" t="inlineStr">
        <is>
          <t>Memo — keg deposits (REFUNDABLE, cash up front)</t>
        </is>
      </c>
      <c r="B36" s="116" t="inlineStr">
        <is>
          <t>Deposit</t>
        </is>
      </c>
      <c r="C36" s="108" t="n"/>
      <c r="D36" s="111">
        <f>SUMIF('Purchase List'!$C$5:$C$73,"Deposit",'Purchase List'!$F$5:$F$73)</f>
        <v/>
      </c>
      <c r="E36" s="108" t="n"/>
      <c r="F36" s="108" t="n"/>
      <c r="G36" s="108" t="n"/>
    </row>
    <row r="37" ht="15" customHeight="1" s="93">
      <c r="A37" s="118" t="inlineStr">
        <is>
          <t>Check: sections + deposits vs Purchase List total (should be $0)</t>
        </is>
      </c>
      <c r="B37" s="108" t="n"/>
      <c r="C37" s="108" t="n"/>
      <c r="D37" s="119">
        <f>D34+D36-'Purchase List'!$F$74</f>
        <v/>
      </c>
      <c r="E37" s="108" t="n"/>
      <c r="F37" s="108" t="n"/>
      <c r="G37" s="108" t="n"/>
    </row>
    <row r="39" ht="15" customHeight="1" s="93">
      <c r="A39" s="102" t="inlineStr">
        <is>
          <t>C. SHARED-INPUT ALLOCATION — how each pool splits across the four types</t>
        </is>
      </c>
    </row>
    <row r="40" ht="31.5" customHeight="1" s="93">
      <c r="A40" s="107" t="inlineStr">
        <is>
          <t>Shared input pool</t>
        </is>
      </c>
      <c r="B40" s="107" t="inlineStr">
        <is>
          <t>Allocation basis</t>
        </is>
      </c>
      <c r="C40" s="107" t="inlineStr">
        <is>
          <t>Pool $</t>
        </is>
      </c>
      <c r="D40" s="107" t="inlineStr">
        <is>
          <t>→ Keg straight</t>
        </is>
      </c>
      <c r="E40" s="107" t="inlineStr">
        <is>
          <t>→ Jug</t>
        </is>
      </c>
      <c r="F40" s="107" t="inlineStr">
        <is>
          <t>→ Built drinks</t>
        </is>
      </c>
      <c r="G40" s="107" t="inlineStr">
        <is>
          <t>→ Canned dirty soda</t>
        </is>
      </c>
    </row>
    <row r="41" ht="15" customHeight="1" s="93">
      <c r="A41" s="108" t="inlineStr">
        <is>
          <t>Keg liquid + tap infrastructure</t>
        </is>
      </c>
      <c r="B41" s="117" t="inlineStr">
        <is>
          <t>servings drawn off the kegs</t>
        </is>
      </c>
      <c r="C41" s="111">
        <f>D24+D26+D27</f>
        <v/>
      </c>
      <c r="D41" s="111">
        <f>C41*$B$59/($B$59+$B$60)</f>
        <v/>
      </c>
      <c r="E41" s="111" t="n">
        <v>0</v>
      </c>
      <c r="F41" s="111">
        <f>C41*$B$60/($B$59+$B$60)</f>
        <v/>
      </c>
      <c r="G41" s="111">
        <f>C41-D41-E41-F41</f>
        <v/>
      </c>
    </row>
    <row r="42" ht="15" customHeight="1" s="93">
      <c r="A42" s="108" t="inlineStr">
        <is>
          <t>Keg add-ons (aloe, lychee)</t>
        </is>
      </c>
      <c r="B42" s="117" t="inlineStr">
        <is>
          <t>100% straight pours</t>
        </is>
      </c>
      <c r="C42" s="111">
        <f>D25</f>
        <v/>
      </c>
      <c r="D42" s="111">
        <f>C42</f>
        <v/>
      </c>
      <c r="E42" s="111" t="n">
        <v>0</v>
      </c>
      <c r="F42" s="111" t="n">
        <v>0</v>
      </c>
      <c r="G42" s="111" t="n">
        <v>0</v>
      </c>
    </row>
    <row r="43" ht="15" customHeight="1" s="93">
      <c r="A43" s="108" t="inlineStr">
        <is>
          <t>Base soda, lemonade, horchata &amp; soda water</t>
        </is>
      </c>
      <c r="B43" s="117" t="inlineStr">
        <is>
          <t>oz consumed</t>
        </is>
      </c>
      <c r="C43" s="111">
        <f>D19</f>
        <v/>
      </c>
      <c r="D43" s="111" t="n">
        <v>0</v>
      </c>
      <c r="E43" s="111">
        <f>C43*$B$53/$B$52</f>
        <v/>
      </c>
      <c r="F43" s="111" t="n">
        <v>0</v>
      </c>
      <c r="G43" s="111">
        <f>C43-D43-E43-F43</f>
        <v/>
      </c>
    </row>
    <row r="44" ht="15" customHeight="1" s="93">
      <c r="A44" s="108" t="inlineStr">
        <is>
          <t>Syrups &amp; fruit purees</t>
        </is>
      </c>
      <c r="B44" s="117" t="inlineStr">
        <is>
          <t>oz consumed</t>
        </is>
      </c>
      <c r="C44" s="111">
        <f>D20</f>
        <v/>
      </c>
      <c r="D44" s="111" t="n">
        <v>0</v>
      </c>
      <c r="E44" s="111">
        <f>C44*$B$55/$B$54</f>
        <v/>
      </c>
      <c r="F44" s="111">
        <f>C44*$B$56/$B$54</f>
        <v/>
      </c>
      <c r="G44" s="111">
        <f>C44-D44-E44-F44</f>
        <v/>
      </c>
    </row>
    <row r="45" ht="15" customHeight="1" s="93">
      <c r="A45" s="108" t="inlineStr">
        <is>
          <t>Cream of coconut</t>
        </is>
      </c>
      <c r="B45" s="117" t="inlineStr">
        <is>
          <t>oz consumed</t>
        </is>
      </c>
      <c r="C45" s="111">
        <f>D21</f>
        <v/>
      </c>
      <c r="D45" s="111" t="n">
        <v>0</v>
      </c>
      <c r="E45" s="111">
        <f>C45*$B$58/$B$57</f>
        <v/>
      </c>
      <c r="F45" s="111" t="n">
        <v>0</v>
      </c>
      <c r="G45" s="111">
        <f>C45-D45-E45-F45</f>
        <v/>
      </c>
    </row>
    <row r="46" ht="15" customHeight="1" s="93">
      <c r="A46" s="108" t="inlineStr">
        <is>
          <t>Built-drink extras + rim salt</t>
        </is>
      </c>
      <c r="B46" s="117" t="inlineStr">
        <is>
          <t>100% built drinks</t>
        </is>
      </c>
      <c r="C46" s="111">
        <f>D22</f>
        <v/>
      </c>
      <c r="D46" s="111" t="n">
        <v>0</v>
      </c>
      <c r="E46" s="111" t="n">
        <v>0</v>
      </c>
      <c r="F46" s="111">
        <f>C46</f>
        <v/>
      </c>
      <c r="G46" s="111" t="n">
        <v>0</v>
      </c>
    </row>
    <row r="47" ht="15" customHeight="1" s="93">
      <c r="A47" s="108" t="inlineStr">
        <is>
          <t>Fresh produce (Thirst Trap cucumber + lime)</t>
        </is>
      </c>
      <c r="B47" s="117" t="inlineStr">
        <is>
          <t>100% canned dirty soda</t>
        </is>
      </c>
      <c r="C47" s="111">
        <f>D23</f>
        <v/>
      </c>
      <c r="D47" s="111" t="n">
        <v>0</v>
      </c>
      <c r="E47" s="111" t="n">
        <v>0</v>
      </c>
      <c r="F47" s="111" t="n">
        <v>0</v>
      </c>
      <c r="G47" s="111">
        <f>C47</f>
        <v/>
      </c>
    </row>
    <row r="48" ht="15" customHeight="1" s="93">
      <c r="A48" s="108" t="inlineStr">
        <is>
          <t>Daily special ingredients</t>
        </is>
      </c>
      <c r="B48" s="117" t="inlineStr">
        <is>
          <t>100% jug</t>
        </is>
      </c>
      <c r="C48" s="111">
        <f>D28</f>
        <v/>
      </c>
      <c r="D48" s="111" t="n">
        <v>0</v>
      </c>
      <c r="E48" s="111">
        <f>C48</f>
        <v/>
      </c>
      <c r="F48" s="111" t="n">
        <v>0</v>
      </c>
      <c r="G48" s="111" t="n">
        <v>0</v>
      </c>
    </row>
    <row r="49" ht="15" customHeight="1" s="93">
      <c r="A49" s="112" t="inlineStr">
        <is>
          <t>TOTAL ALLOCATED</t>
        </is>
      </c>
      <c r="B49" s="112" t="n"/>
      <c r="C49" s="115">
        <f>SUM(C41:C48)</f>
        <v/>
      </c>
      <c r="D49" s="115">
        <f>SUM(D41:D48)</f>
        <v/>
      </c>
      <c r="E49" s="115">
        <f>SUM(E41:E48)</f>
        <v/>
      </c>
      <c r="F49" s="115">
        <f>SUM(F41:F48)</f>
        <v/>
      </c>
      <c r="G49" s="115">
        <f>SUM(G41:G48)</f>
        <v/>
      </c>
    </row>
    <row r="51" ht="15" customHeight="1" s="93">
      <c r="A51" s="102" t="inlineStr">
        <is>
          <t>Supporting figures — the quantities that drive the splits above</t>
        </is>
      </c>
    </row>
    <row r="52" ht="15" customHeight="1" s="93">
      <c r="A52" s="108" t="inlineStr">
        <is>
          <t>Base soda pool — total oz</t>
        </is>
      </c>
      <c r="B52" s="120">
        <f>'Base Soda — Cans'!$B$13+'Other Consumables'!$B$20</f>
        <v/>
      </c>
    </row>
    <row r="53" ht="15" customHeight="1" s="93">
      <c r="A53" s="108" t="inlineStr">
        <is>
          <t>Base soda pool — jug oz</t>
        </is>
      </c>
      <c r="B53" s="120">
        <f>SUMPRODUCT(('Daily Schedule'!$F$4:$F$15="Sprite")*'Daily Schedule'!$G$4:$G$15)+SUMPRODUCT(('Daily Schedule'!$H$4:$H$15="Sprite")*'Daily Schedule'!$I$4:$I$15)+SUMPRODUCT(('Daily Schedule'!$J$4:$J$15="Sprite")*'Daily Schedule'!$K$4:$K$15)+SUMPRODUCT(('Daily Schedule'!$L$4:$L$15="Sprite")*'Daily Schedule'!$M$4:$M$15)+SUMPRODUCT(('Daily Schedule'!$N$4:$N$15="Sprite")*'Daily Schedule'!$O$4:$O$15)+SUMPRODUCT(('Daily Schedule'!$F$4:$F$15="Mountain Dew")*'Daily Schedule'!$G$4:$G$15)+SUMPRODUCT(('Daily Schedule'!$H$4:$H$15="Mountain Dew")*'Daily Schedule'!$I$4:$I$15)+SUMPRODUCT(('Daily Schedule'!$J$4:$J$15="Mountain Dew")*'Daily Schedule'!$K$4:$K$15)+SUMPRODUCT(('Daily Schedule'!$L$4:$L$15="Mountain Dew")*'Daily Schedule'!$M$4:$M$15)+SUMPRODUCT(('Daily Schedule'!$N$4:$N$15="Mountain Dew")*'Daily Schedule'!$O$4:$O$15)+SUMPRODUCT(('Daily Schedule'!$F$4:$F$15="Lemonade")*'Daily Schedule'!$G$4:$G$15)+SUMPRODUCT(('Daily Schedule'!$H$4:$H$15="Lemonade")*'Daily Schedule'!$I$4:$I$15)+SUMPRODUCT(('Daily Schedule'!$J$4:$J$15="Lemonade")*'Daily Schedule'!$K$4:$K$15)+SUMPRODUCT(('Daily Schedule'!$L$4:$L$15="Lemonade")*'Daily Schedule'!$M$4:$M$15)+SUMPRODUCT(('Daily Schedule'!$N$4:$N$15="Lemonade")*'Daily Schedule'!$O$4:$O$15)+SUMPRODUCT(('Daily Schedule'!$F$4:$F$15="Horchata mix")*'Daily Schedule'!$G$4:$G$15)+SUMPRODUCT(('Daily Schedule'!$H$4:$H$15="Horchata mix")*'Daily Schedule'!$I$4:$I$15)+SUMPRODUCT(('Daily Schedule'!$J$4:$J$15="Horchata mix")*'Daily Schedule'!$K$4:$K$15)+SUMPRODUCT(('Daily Schedule'!$L$4:$L$15="Horchata mix")*'Daily Schedule'!$M$4:$M$15)+SUMPRODUCT(('Daily Schedule'!$N$4:$N$15="Horchata mix")*'Daily Schedule'!$O$4:$O$15)</f>
        <v/>
      </c>
    </row>
    <row r="54" ht="15" customHeight="1" s="93">
      <c r="A54" s="108" t="inlineStr">
        <is>
          <t>Syrups &amp; purees — total oz</t>
        </is>
      </c>
      <c r="B54" s="120">
        <f>'Other Consumables'!$B$12+'Other Consumables'!$B$17+'Other Consumables'!$B$18</f>
        <v/>
      </c>
    </row>
    <row r="55" ht="15" customHeight="1" s="93">
      <c r="A55" s="108" t="inlineStr">
        <is>
          <t>Syrups &amp; purees — jug oz</t>
        </is>
      </c>
      <c r="B55" s="120">
        <f>SUMPRODUCT(('Daily Schedule'!$F$4:$F$15="Peach syrup")*'Daily Schedule'!$G$4:$G$15)+SUMPRODUCT(('Daily Schedule'!$H$4:$H$15="Peach syrup")*'Daily Schedule'!$I$4:$I$15)+SUMPRODUCT(('Daily Schedule'!$J$4:$J$15="Peach syrup")*'Daily Schedule'!$K$4:$K$15)+SUMPRODUCT(('Daily Schedule'!$L$4:$L$15="Peach syrup")*'Daily Schedule'!$M$4:$M$15)+SUMPRODUCT(('Daily Schedule'!$N$4:$N$15="Peach syrup")*'Daily Schedule'!$O$4:$O$15)+SUMPRODUCT(('Daily Schedule'!$F$4:$F$15="Cherry syrup")*'Daily Schedule'!$G$4:$G$15)+SUMPRODUCT(('Daily Schedule'!$H$4:$H$15="Cherry syrup")*'Daily Schedule'!$I$4:$I$15)+SUMPRODUCT(('Daily Schedule'!$J$4:$J$15="Cherry syrup")*'Daily Schedule'!$K$4:$K$15)+SUMPRODUCT(('Daily Schedule'!$L$4:$L$15="Cherry syrup")*'Daily Schedule'!$M$4:$M$15)+SUMPRODUCT(('Daily Schedule'!$N$4:$N$15="Cherry syrup")*'Daily Schedule'!$O$4:$O$15)+SUMPRODUCT(('Daily Schedule'!$F$4:$F$15="Vanilla syrup")*'Daily Schedule'!$G$4:$G$15)+SUMPRODUCT(('Daily Schedule'!$H$4:$H$15="Vanilla syrup")*'Daily Schedule'!$I$4:$I$15)+SUMPRODUCT(('Daily Schedule'!$J$4:$J$15="Vanilla syrup")*'Daily Schedule'!$K$4:$K$15)+SUMPRODUCT(('Daily Schedule'!$L$4:$L$15="Vanilla syrup")*'Daily Schedule'!$M$4:$M$15)+SUMPRODUCT(('Daily Schedule'!$N$4:$N$15="Vanilla syrup")*'Daily Schedule'!$O$4:$O$15)+SUMPRODUCT(('Daily Schedule'!$F$4:$F$15="Pineapple purée")*'Daily Schedule'!$G$4:$G$15)+SUMPRODUCT(('Daily Schedule'!$H$4:$H$15="Pineapple purée")*'Daily Schedule'!$I$4:$I$15)+SUMPRODUCT(('Daily Schedule'!$J$4:$J$15="Pineapple purée")*'Daily Schedule'!$K$4:$K$15)+SUMPRODUCT(('Daily Schedule'!$L$4:$L$15="Pineapple purée")*'Daily Schedule'!$M$4:$M$15)+SUMPRODUCT(('Daily Schedule'!$N$4:$N$15="Pineapple purée")*'Daily Schedule'!$O$4:$O$15)+SUMPRODUCT(('Daily Schedule'!$F$4:$F$15="Passion fruit purée")*'Daily Schedule'!$G$4:$G$15)+SUMPRODUCT(('Daily Schedule'!$H$4:$H$15="Passion fruit purée")*'Daily Schedule'!$I$4:$I$15)+SUMPRODUCT(('Daily Schedule'!$J$4:$J$15="Passion fruit purée")*'Daily Schedule'!$K$4:$K$15)+SUMPRODUCT(('Daily Schedule'!$L$4:$L$15="Passion fruit purée")*'Daily Schedule'!$M$4:$M$15)+SUMPRODUCT(('Daily Schedule'!$N$4:$N$15="Passion fruit purée")*'Daily Schedule'!$O$4:$O$15)</f>
        <v/>
      </c>
    </row>
    <row r="56" ht="15" customHeight="1" s="93">
      <c r="A56" s="108" t="inlineStr">
        <is>
          <t>Syrups &amp; purees — built-drink oz (Tang + Sakura passion fruit, Clear Cache peach)</t>
        </is>
      </c>
      <c r="B56" s="120">
        <f>Recipes!$B$3*Recipes!$I$3+Recipes!$B$13*Assumptions!$B$118+Recipes!$B$14*Recipes!$G$14</f>
        <v/>
      </c>
    </row>
    <row r="57" ht="15" customHeight="1" s="93">
      <c r="A57" s="108" t="inlineStr">
        <is>
          <t>Cream of coconut — total oz</t>
        </is>
      </c>
      <c r="B57" s="120">
        <f>'Other Consumables'!$B$16</f>
        <v/>
      </c>
    </row>
    <row r="58" ht="15" customHeight="1" s="93">
      <c r="A58" s="108" t="inlineStr">
        <is>
          <t>Cream of coconut — jug oz</t>
        </is>
      </c>
      <c r="B58" s="120">
        <f>SUMPRODUCT(('Daily Schedule'!$F$4:$F$15="Coconut cream")*'Daily Schedule'!$G$4:$G$15)+SUMPRODUCT(('Daily Schedule'!$H$4:$H$15="Coconut cream")*'Daily Schedule'!$I$4:$I$15)+SUMPRODUCT(('Daily Schedule'!$J$4:$J$15="Coconut cream")*'Daily Schedule'!$K$4:$K$15)+SUMPRODUCT(('Daily Schedule'!$L$4:$L$15="Coconut cream")*'Daily Schedule'!$M$4:$M$15)+SUMPRODUCT(('Daily Schedule'!$N$4:$N$15="Coconut cream")*'Daily Schedule'!$O$4:$O$15)</f>
        <v/>
      </c>
    </row>
    <row r="59" ht="15" customHeight="1" s="93">
      <c r="A59" s="108" t="inlineStr">
        <is>
          <t>Keg servings — poured straight</t>
        </is>
      </c>
      <c r="B59" s="109">
        <f>Kegs!$C$13</f>
        <v/>
      </c>
    </row>
    <row r="60" ht="15" customHeight="1" s="93">
      <c r="A60" s="108" t="inlineStr">
        <is>
          <t>Keg servings — leaving as built drinks</t>
        </is>
      </c>
      <c r="B60" s="109">
        <f>(Recipes!$B$3+Recipes!$B$4+Recipes!$B$11+Recipes!$B$13+Recipes!$B$14)</f>
        <v/>
      </c>
    </row>
    <row r="61" ht="15" customHeight="1" s="93">
      <c r="A61" s="108" t="inlineStr">
        <is>
          <t>Keg cost per serving (liquid + tap infrastructure)</t>
        </is>
      </c>
      <c r="B61" s="111">
        <f>C41/($B$59+$B$60)</f>
        <v/>
      </c>
    </row>
    <row r="64" ht="31.5" customHeight="1" s="93">
      <c r="A64" s="106"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15:G15"/>
    <mergeCell ref="A64:G6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7" activeCellId="0" sqref="B7"/>
    </sheetView>
  </sheetViews>
  <sheetFormatPr baseColWidth="8" defaultColWidth="14.4296875" defaultRowHeight="15" zeroHeight="0" outlineLevelRow="0"/>
  <cols>
    <col width="24" customWidth="1" style="92" min="1" max="1"/>
    <col width="9" customWidth="1" style="92" min="2" max="2"/>
    <col width="8" customWidth="1" style="92" min="3" max="3"/>
    <col width="13" customWidth="1" style="92" min="4" max="4"/>
    <col width="7" customWidth="1" style="92" min="5" max="5"/>
    <col width="11" customWidth="1" style="92" min="6" max="6"/>
    <col width="7" customWidth="1" style="92" min="7" max="7"/>
    <col width="11" customWidth="1" style="92" min="8" max="8"/>
    <col width="7" customWidth="1" style="92" min="9" max="9"/>
    <col width="11" customWidth="1" style="92" min="10" max="10"/>
    <col width="13" customWidth="1" style="92" min="11" max="11"/>
    <col width="34" customWidth="1" style="92" min="12" max="12"/>
    <col width="19.71" customWidth="1" style="92" min="13" max="13"/>
    <col width="8.710000000000001" customWidth="1" style="92" min="14" max="25"/>
    <col width="10.16" customWidth="1" style="92" min="16384" max="16384"/>
  </cols>
  <sheetData>
    <row r="1" ht="24" customHeight="1" s="93">
      <c r="A1" s="94" t="inlineStr">
        <is>
          <t>Dirty Soda Recipes — absolute drink counts (per-serving oz)</t>
        </is>
      </c>
    </row>
    <row r="2" ht="30" customHeight="1" s="93">
      <c r="A2" s="121" t="inlineStr">
        <is>
          <t>Recipe</t>
        </is>
      </c>
      <c r="B2" s="121" t="inlineStr">
        <is>
          <t>Servings</t>
        </is>
      </c>
      <c r="C2" s="121" t="inlineStr">
        <is>
          <t>(share)</t>
        </is>
      </c>
      <c r="D2" s="121" t="inlineStr">
        <is>
          <t>Base soda</t>
        </is>
      </c>
      <c r="E2" s="121" t="inlineStr">
        <is>
          <t>Base oz</t>
        </is>
      </c>
      <c r="F2" s="121" t="inlineStr">
        <is>
          <t>Syrup A</t>
        </is>
      </c>
      <c r="G2" s="121" t="inlineStr">
        <is>
          <t>A oz</t>
        </is>
      </c>
      <c r="H2" s="121" t="inlineStr">
        <is>
          <t>Syrup B</t>
        </is>
      </c>
      <c r="I2" s="121" t="inlineStr">
        <is>
          <t>B oz</t>
        </is>
      </c>
      <c r="J2" s="121" t="inlineStr">
        <is>
          <t>Soda water oz</t>
        </is>
      </c>
      <c r="K2" s="121" t="inlineStr">
        <is>
          <t>Coconut cream oz</t>
        </is>
      </c>
      <c r="L2" s="121" t="inlineStr">
        <is>
          <t>Special / garnish</t>
        </is>
      </c>
      <c r="M2" s="121" t="inlineStr">
        <is>
          <t>Liquor (optional)</t>
        </is>
      </c>
      <c r="N2" s="121" t="inlineStr">
        <is>
          <t>Liquor oz needed</t>
        </is>
      </c>
    </row>
    <row r="3" ht="23.25" customHeight="1" s="93">
      <c r="A3" s="97" t="inlineStr">
        <is>
          <t>Tang Dynasty (built)</t>
        </is>
      </c>
      <c r="B3" s="122" t="n">
        <v>40</v>
      </c>
      <c r="C3" s="123">
        <f>B3/$B$19</f>
        <v/>
      </c>
      <c r="D3" s="97" t="inlineStr">
        <is>
          <t>Kombucha keg</t>
        </is>
      </c>
      <c r="E3" s="124" t="n">
        <v>4</v>
      </c>
      <c r="F3" s="97" t="inlineStr">
        <is>
          <t>Tangerine juice</t>
        </is>
      </c>
      <c r="G3" s="124" t="n">
        <v>2</v>
      </c>
      <c r="H3" s="97" t="inlineStr">
        <is>
          <t>Passion fruit purée</t>
        </is>
      </c>
      <c r="I3" s="124" t="n">
        <v>0.75</v>
      </c>
      <c r="J3" s="124" t="n">
        <v>0</v>
      </c>
      <c r="K3" s="124" t="n">
        <v>0</v>
      </c>
      <c r="L3" s="99" t="inlineStr">
        <is>
          <t>Kombucha + tangerine + passion fruit over ice, fresh lime squeeze (Assumptions B113), slapped mint or basil leaf; pours from the kombucha keg.</t>
        </is>
      </c>
      <c r="M3" s="97" t="inlineStr">
        <is>
          <t>Vodka</t>
        </is>
      </c>
      <c r="N3" s="125">
        <f>B3*Assumptions!$B$39*Assumptions!$B$40</f>
        <v/>
      </c>
    </row>
    <row r="4" ht="23.25" customHeight="1" s="93">
      <c r="A4" s="97" t="inlineStr">
        <is>
          <t>Michelada (built)</t>
        </is>
      </c>
      <c r="B4" s="122">
        <f>Assumptions!$B$60</f>
        <v/>
      </c>
      <c r="C4" s="123">
        <f>B4/$B$19</f>
        <v/>
      </c>
      <c r="D4" s="97" t="inlineStr">
        <is>
          <t>Mexican Lager keg</t>
        </is>
      </c>
      <c r="E4" s="124" t="n">
        <v>8</v>
      </c>
      <c r="F4" s="97" t="inlineStr">
        <is>
          <t>Clamato</t>
        </is>
      </c>
      <c r="G4" s="124" t="n">
        <v>4</v>
      </c>
      <c r="H4" s="97" t="inlineStr">
        <is>
          <t>Lime juice (fresh)</t>
        </is>
      </c>
      <c r="I4" s="124" t="n">
        <v>0.5</v>
      </c>
      <c r="J4" s="124" t="n">
        <v>0</v>
      </c>
      <c r="K4" s="124" t="n">
        <v>0</v>
      </c>
      <c r="L4" s="99" t="inlineStr">
        <is>
          <t>Chelada built to order off the Mexican Lager keg: Clamato + fresh lime + hot sauce, Tajin rim. Extras itemized on Other Consumables rows 38-41.</t>
        </is>
      </c>
      <c r="M4" s="97" t="n"/>
      <c r="N4" s="125" t="n">
        <v>0</v>
      </c>
    </row>
    <row r="5" ht="15" customHeight="1" s="93">
      <c r="A5" s="97" t="inlineStr">
        <is>
          <t>Vanilla Cherry Grove</t>
        </is>
      </c>
      <c r="B5" s="122" t="n">
        <v>120</v>
      </c>
      <c r="C5" s="123">
        <f>B5/$B$19</f>
        <v/>
      </c>
      <c r="D5" s="97" t="inlineStr">
        <is>
          <t>Coke</t>
        </is>
      </c>
      <c r="E5" s="124" t="n">
        <v>4</v>
      </c>
      <c r="F5" s="97" t="inlineStr">
        <is>
          <t>Vanilla</t>
        </is>
      </c>
      <c r="G5" s="124" t="n">
        <v>0.5</v>
      </c>
      <c r="H5" s="97" t="inlineStr">
        <is>
          <t>Cherry</t>
        </is>
      </c>
      <c r="I5" s="124" t="n">
        <v>0.5</v>
      </c>
      <c r="J5" s="124" t="n">
        <v>0.5</v>
      </c>
      <c r="K5" s="124" t="n">
        <v>0</v>
      </c>
      <c r="L5" s="99" t="n"/>
      <c r="M5" s="97" t="inlineStr">
        <is>
          <t>Bourbon</t>
        </is>
      </c>
      <c r="N5" s="125">
        <f>B5*Assumptions!$B$39*Assumptions!$B$40</f>
        <v/>
      </c>
    </row>
    <row r="6" ht="15" customHeight="1" s="93">
      <c r="A6" s="97" t="inlineStr">
        <is>
          <t>Orange Cream-sicle</t>
        </is>
      </c>
      <c r="B6" s="122" t="n">
        <v>60</v>
      </c>
      <c r="C6" s="123">
        <f>B6/$B$19</f>
        <v/>
      </c>
      <c r="D6" s="97" t="inlineStr">
        <is>
          <t>Orange Fanta</t>
        </is>
      </c>
      <c r="E6" s="124" t="n">
        <v>4</v>
      </c>
      <c r="F6" s="97" t="n"/>
      <c r="G6" s="124" t="n">
        <v>0</v>
      </c>
      <c r="H6" s="97" t="n"/>
      <c r="I6" s="124" t="n">
        <v>0</v>
      </c>
      <c r="J6" s="124" t="n">
        <v>1</v>
      </c>
      <c r="K6" s="124" t="n">
        <v>1</v>
      </c>
      <c r="L6" s="99" t="n"/>
      <c r="M6" s="97" t="inlineStr">
        <is>
          <t>Vodka</t>
        </is>
      </c>
      <c r="N6" s="125">
        <f>B6*Assumptions!$B$39*Assumptions!$B$40</f>
        <v/>
      </c>
    </row>
    <row r="7" ht="15" customHeight="1" s="93">
      <c r="A7" s="97" t="inlineStr">
        <is>
          <t>Watermelon Sugar High</t>
        </is>
      </c>
      <c r="B7" s="122" t="n">
        <v>50</v>
      </c>
      <c r="C7" s="123">
        <f>B7/$B$19</f>
        <v/>
      </c>
      <c r="D7" s="97" t="inlineStr">
        <is>
          <t>Lemonade</t>
        </is>
      </c>
      <c r="E7" s="124" t="n">
        <v>4</v>
      </c>
      <c r="F7" s="97" t="inlineStr">
        <is>
          <t>Watermelon</t>
        </is>
      </c>
      <c r="G7" s="124" t="n">
        <v>1</v>
      </c>
      <c r="H7" s="97" t="n"/>
      <c r="I7" s="124" t="n">
        <v>0</v>
      </c>
      <c r="J7" s="124" t="n">
        <v>1</v>
      </c>
      <c r="K7" s="124" t="n">
        <v>0</v>
      </c>
      <c r="L7" s="99" t="inlineStr">
        <is>
          <t>Muddled fresh mint</t>
        </is>
      </c>
      <c r="M7" s="97" t="inlineStr">
        <is>
          <t>Blanco Tequila</t>
        </is>
      </c>
      <c r="N7" s="125">
        <f>B7*Assumptions!$B$39*Assumptions!$B$40</f>
        <v/>
      </c>
    </row>
    <row r="8" ht="15" customHeight="1" s="93">
      <c r="A8" s="97" t="inlineStr">
        <is>
          <t>A Ginger's Pickle (Big Dill Energy)</t>
        </is>
      </c>
      <c r="B8" s="122" t="n">
        <v>40</v>
      </c>
      <c r="C8" s="123">
        <f>B8/$B$19</f>
        <v/>
      </c>
      <c r="D8" s="97" t="inlineStr">
        <is>
          <t>Ginger ale</t>
        </is>
      </c>
      <c r="E8" s="124" t="n">
        <v>4</v>
      </c>
      <c r="F8" s="97" t="n"/>
      <c r="G8" s="124" t="n">
        <v>0</v>
      </c>
      <c r="H8" s="97" t="n"/>
      <c r="I8" s="124" t="n">
        <v>0</v>
      </c>
      <c r="J8" s="124" t="n">
        <v>1</v>
      </c>
      <c r="K8" s="124" t="n">
        <v>0</v>
      </c>
      <c r="L8" s="99" t="inlineStr">
        <is>
          <t>Pickle juice 0.5oz + Tajin rim</t>
        </is>
      </c>
      <c r="M8" s="97" t="inlineStr">
        <is>
          <t>Whiskey</t>
        </is>
      </c>
      <c r="N8" s="125">
        <f>B8*Assumptions!$B$39*Assumptions!$B$40</f>
        <v/>
      </c>
    </row>
    <row r="9" ht="15" customHeight="1" s="93">
      <c r="A9" s="97" t="inlineStr">
        <is>
          <t>The Dr's Cream</t>
        </is>
      </c>
      <c r="B9" s="122" t="n">
        <v>70</v>
      </c>
      <c r="C9" s="123">
        <f>B9/$B$19</f>
        <v/>
      </c>
      <c r="D9" s="97" t="inlineStr">
        <is>
          <t>Dr Pepper</t>
        </is>
      </c>
      <c r="E9" s="124" t="n">
        <v>4</v>
      </c>
      <c r="F9" s="97" t="inlineStr">
        <is>
          <t>Vanilla</t>
        </is>
      </c>
      <c r="G9" s="124" t="n">
        <v>1</v>
      </c>
      <c r="H9" s="97" t="n"/>
      <c r="I9" s="124" t="n">
        <v>0</v>
      </c>
      <c r="J9" s="124" t="n">
        <v>0.5</v>
      </c>
      <c r="K9" s="124" t="n">
        <v>0.5</v>
      </c>
      <c r="L9" s="99" t="n"/>
      <c r="M9" s="97" t="inlineStr">
        <is>
          <t>Bourbon</t>
        </is>
      </c>
      <c r="N9" s="125">
        <f>B9*Assumptions!$B$39*Assumptions!$B$40</f>
        <v/>
      </c>
    </row>
    <row r="10" ht="15" customHeight="1" s="93">
      <c r="A10" s="97" t="inlineStr">
        <is>
          <t>The Dr's Peach Exam</t>
        </is>
      </c>
      <c r="B10" s="122" t="n">
        <v>50</v>
      </c>
      <c r="C10" s="123">
        <f>B10/$B$19</f>
        <v/>
      </c>
      <c r="D10" s="97" t="inlineStr">
        <is>
          <t>Dr Pepper</t>
        </is>
      </c>
      <c r="E10" s="124" t="n">
        <v>4</v>
      </c>
      <c r="F10" s="97" t="inlineStr">
        <is>
          <t>Vanilla</t>
        </is>
      </c>
      <c r="G10" s="124" t="n">
        <v>0.5</v>
      </c>
      <c r="H10" s="97" t="inlineStr">
        <is>
          <t>Peach</t>
        </is>
      </c>
      <c r="I10" s="124" t="n">
        <v>0.5</v>
      </c>
      <c r="J10" s="124" t="n">
        <v>0.5</v>
      </c>
      <c r="K10" s="124" t="n">
        <v>0.5</v>
      </c>
      <c r="L10" s="99" t="n"/>
      <c r="M10" s="97" t="inlineStr">
        <is>
          <t>Whiskey</t>
        </is>
      </c>
      <c r="N10" s="125">
        <f>B10*Assumptions!$B$39*Assumptions!$B$40</f>
        <v/>
      </c>
      <c r="O10" s="126" t="inlineStr">
        <is>
          <t xml:space="preserve">Needs soda water </t>
        </is>
      </c>
    </row>
    <row r="11" ht="23.25" customHeight="1" s="93">
      <c r="A11" s="97" t="inlineStr">
        <is>
          <t>SCoBY-Dew / ScoBY-Mexican-Mule</t>
        </is>
      </c>
      <c r="B11" s="122" t="n">
        <v>40</v>
      </c>
      <c r="C11" s="123">
        <f>B11/$B$19</f>
        <v/>
      </c>
      <c r="D11" s="97" t="inlineStr">
        <is>
          <t>Kombucha keg</t>
        </is>
      </c>
      <c r="E11" s="124" t="n">
        <v>4</v>
      </c>
      <c r="F11" s="97" t="inlineStr">
        <is>
          <t>Lemon juice (fresh)</t>
        </is>
      </c>
      <c r="G11" s="124" t="n">
        <v>0.5</v>
      </c>
      <c r="H11" s="97" t="inlineStr">
        <is>
          <t>Ginger beer</t>
        </is>
      </c>
      <c r="I11" s="124" t="n">
        <v>3</v>
      </c>
      <c r="J11" s="124" t="n">
        <v>0</v>
      </c>
      <c r="K11" s="124" t="n">
        <v>0</v>
      </c>
      <c r="L11" s="99" t="inlineStr">
        <is>
          <t>Fresh lemon juice + agave + apple cider vinegar + ginger beer over kombucha pulled from the keg. Per-serving amounts for the simple syrup, ACV and agave live on Assumptions B98/B128/B131; everything is itemized on Other Consumables rows 35-37 and 45-46.</t>
        </is>
      </c>
      <c r="M11" s="97" t="inlineStr">
        <is>
          <t>Vodka</t>
        </is>
      </c>
      <c r="N11" s="125">
        <f>B11*Assumptions!$B$39*Assumptions!$B$40</f>
        <v/>
      </c>
    </row>
    <row r="12" ht="23.25" customHeight="1" s="93">
      <c r="A12" s="97" t="inlineStr">
        <is>
          <t>Thirst Trap</t>
        </is>
      </c>
      <c r="B12" s="122" t="n">
        <v>50</v>
      </c>
      <c r="C12" s="123">
        <f>B12/$B$19</f>
        <v/>
      </c>
      <c r="D12" s="97" t="inlineStr">
        <is>
          <t>Squirt</t>
        </is>
      </c>
      <c r="E12" s="124" t="n">
        <v>4</v>
      </c>
      <c r="F12" s="97" t="inlineStr">
        <is>
          <t>Cucumber</t>
        </is>
      </c>
      <c r="G12" s="124" t="n">
        <v>0.75</v>
      </c>
      <c r="H12" s="97" t="inlineStr">
        <is>
          <t>Lime juice (fresh)</t>
        </is>
      </c>
      <c r="I12" s="124" t="n">
        <v>0.5</v>
      </c>
      <c r="J12" s="124" t="n">
        <v>2</v>
      </c>
      <c r="K12" s="124" t="n">
        <v>0</v>
      </c>
      <c r="L12" s="99" t="inlineStr">
        <is>
          <t>Muddle the cucumber, then Squirt + soda water over ice. Two-finger pinch of salt or a Tajin rim — the salt is what kills the grapefruit bitterness.</t>
        </is>
      </c>
      <c r="M12" s="97" t="inlineStr">
        <is>
          <t>Blanco Tequila</t>
        </is>
      </c>
      <c r="N12" s="125">
        <f>B12*Assumptions!$B$39*Assumptions!$B$40</f>
        <v/>
      </c>
    </row>
    <row r="13" ht="15" customHeight="1" s="93">
      <c r="A13" s="97" t="inlineStr">
        <is>
          <t>Sakura Kisses (SAT ONLY reveal)</t>
        </is>
      </c>
      <c r="B13" s="122" t="n">
        <v>33</v>
      </c>
      <c r="C13" s="123">
        <f>B13/$B$19</f>
        <v/>
      </c>
      <c r="D13" s="97" t="inlineStr">
        <is>
          <t>Green tea keg</t>
        </is>
      </c>
      <c r="E13" s="124" t="n">
        <v>4</v>
      </c>
      <c r="F13" s="97" t="inlineStr">
        <is>
          <t>Orange juice</t>
        </is>
      </c>
      <c r="G13" s="124" t="n">
        <v>2</v>
      </c>
      <c r="H13" s="97" t="inlineStr">
        <is>
          <t>Sakura syrup</t>
        </is>
      </c>
      <c r="I13" s="124" t="n">
        <v>0.5</v>
      </c>
      <c r="J13" s="124" t="n">
        <v>0</v>
      </c>
      <c r="K13" s="124" t="n">
        <v>0</v>
      </c>
      <c r="L13" s="99" t="inlineStr">
        <is>
          <t>SATURDAY ONLY — Catboy Café finale, built to order off the green tea keg (replaces the retired Saturday aqua fresca jug). Green tea over ice + orange juice + sakura syrup, plus orange syrup and passion fruit purée (Assumptions B118); mint or cucumber garnish.</t>
        </is>
      </c>
      <c r="M13" s="97" t="n"/>
      <c r="N13" s="125" t="n">
        <v>0</v>
      </c>
    </row>
    <row r="14" ht="15" customHeight="1" s="93">
      <c r="A14" s="97" t="inlineStr">
        <is>
          <t>Clear Cache (built) — Clear Mind keg</t>
        </is>
      </c>
      <c r="B14" s="122" t="n">
        <v>40</v>
      </c>
      <c r="C14" s="123">
        <f>B14/$B$19</f>
        <v/>
      </c>
      <c r="D14" s="97" t="inlineStr">
        <is>
          <t>Kombucha keg (Clear Mind)</t>
        </is>
      </c>
      <c r="E14" s="124" t="n">
        <v>4</v>
      </c>
      <c r="F14" s="97" t="inlineStr">
        <is>
          <t>Peach</t>
        </is>
      </c>
      <c r="G14" s="124" t="n">
        <v>0.5</v>
      </c>
      <c r="H14" s="97" t="inlineStr">
        <is>
          <t>Lemon juice (fresh)</t>
        </is>
      </c>
      <c r="I14" s="124" t="n">
        <v>0.5</v>
      </c>
      <c r="J14" s="124" t="n">
        <v>1</v>
      </c>
      <c r="K14" s="124" t="n">
        <v>0</v>
      </c>
      <c r="L14" s="99" t="inlineStr">
        <is>
          <t>Built off the Brew Dr. Clear Mind keg (rosemary, mint, sage, green tea). Kombucha over ice + peach syrup + fresh lemon, topped with soda water. Slap a fresh sage leaf and drop it in; pinch of salt. Peach + green tea is the classic pairing, sage is the twist, and the kombucha's acidity keeps the peach from reading as candy.</t>
        </is>
      </c>
      <c r="M14" s="97" t="inlineStr">
        <is>
          <t>Bourbon</t>
        </is>
      </c>
      <c r="N14" s="125">
        <f>B14*Assumptions!$B$39*Assumptions!$B$40</f>
        <v/>
      </c>
    </row>
    <row r="15" ht="15" customHeight="1" s="93">
      <c r="A15" s="97" t="inlineStr">
        <is>
          <t>Catboy Snot (SAT ONLY reveal)</t>
        </is>
      </c>
      <c r="B15" s="122" t="n">
        <v>25</v>
      </c>
      <c r="C15" s="123">
        <f>B15/$B$19</f>
        <v/>
      </c>
      <c r="D15" s="97" t="inlineStr">
        <is>
          <t>Squirt</t>
        </is>
      </c>
      <c r="E15" s="124" t="n">
        <v>4</v>
      </c>
      <c r="F15" s="97" t="inlineStr">
        <is>
          <t>Melon</t>
        </is>
      </c>
      <c r="G15" s="124" t="n">
        <v>0.5</v>
      </c>
      <c r="H15" s="97" t="inlineStr">
        <is>
          <t>Lime juice (fresh)</t>
        </is>
      </c>
      <c r="I15" s="124" t="n">
        <v>0.5</v>
      </c>
      <c r="J15" s="124" t="n">
        <v>0</v>
      </c>
      <c r="K15" s="124" t="n">
        <v>0</v>
      </c>
      <c r="L15" s="99" t="inlineStr">
        <is>
          <t>SATURDAY ONLY — Catboy Café finale, do not put it on the board before Saturday. Squirt + melon syrup + fresh lime over ice, then 2 oz of aloe vera juice WITH THE PULP spooned in (per-serving oz on Assumptions B147) so the cubes hang in suspension — that is the whole gag. Two-finger pinch of salt, same as Thirst Trap: the salt is what kills the grapefruit bitterness. Tint the ALOE BOTTLE (not the cup) with a pinch of the blue spirulina already bought for Blue Screen of Death — pale-yellow Squirt + blue reads green, and tinting per-cup comes out uneven. Optional basil seeds (Assumptions B150), hydrated in water ahead of service. BUY DRINKING ALOE — inner-fillet/decolorized, NOT whole-leaf or supplement aloe (aloin = laxative).</t>
        </is>
      </c>
      <c r="M15" s="97" t="inlineStr">
        <is>
          <t>Blanco Tequila</t>
        </is>
      </c>
      <c r="N15" s="125">
        <f>B15*Assumptions!$B$39*Assumptions!$B$40</f>
        <v/>
      </c>
    </row>
    <row r="16" ht="32.25" customHeight="1" s="93">
      <c r="A16" s="97" t="inlineStr">
        <is>
          <t>Catboy Piss (SAT ONLY reveal)</t>
        </is>
      </c>
      <c r="B16" s="122" t="n">
        <v>25</v>
      </c>
      <c r="C16" s="123">
        <f>B16/$B$19</f>
        <v/>
      </c>
      <c r="D16" s="97" t="inlineStr">
        <is>
          <t>Red Bull</t>
        </is>
      </c>
      <c r="E16" s="124" t="n">
        <v>4</v>
      </c>
      <c r="F16" s="97" t="inlineStr">
        <is>
          <t>Passion fruit purée</t>
        </is>
      </c>
      <c r="G16" s="124" t="n">
        <v>0.5</v>
      </c>
      <c r="H16" s="97" t="inlineStr">
        <is>
          <t>Lime juice (fresh)</t>
        </is>
      </c>
      <c r="I16" s="124" t="n">
        <v>0.5</v>
      </c>
      <c r="J16" s="124" t="n">
        <v>0</v>
      </c>
      <c r="K16" s="124" t="n">
        <v>0</v>
      </c>
      <c r="L16" s="99" t="inlineStr">
        <is>
          <t>SATURDAY ONLY — do not put it on the board before Saturday. Red Bull + blanco tequila over ice, passion fruit purée and fresh lime, Tajin rim. The purée deepens the colour to a genuinely alarming gold and its tartness cuts the Red Bull sweetness; the salty-spicy rim is what stops it tasting like a dorm drink. Red Bull comes off the Bar Add-Ons tab (12 of the 24 cans).</t>
        </is>
      </c>
      <c r="M16" s="97" t="inlineStr">
        <is>
          <t>Blanco Tequila</t>
        </is>
      </c>
      <c r="N16" s="125">
        <f>B16*Assumptions!$B$39*Assumptions!$B$40</f>
        <v/>
      </c>
    </row>
    <row r="17" ht="15" customHeight="1" s="93">
      <c r="A17" s="97" t="inlineStr">
        <is>
          <t>Shirley Temple of Doom</t>
        </is>
      </c>
      <c r="B17" s="122" t="n">
        <v>25</v>
      </c>
      <c r="C17" s="123">
        <f>B17/$B$19</f>
        <v/>
      </c>
      <c r="D17" s="97" t="inlineStr">
        <is>
          <t>Sprite</t>
        </is>
      </c>
      <c r="E17" s="124" t="n">
        <v>3</v>
      </c>
      <c r="F17" s="97" t="inlineStr">
        <is>
          <t>Cherry</t>
        </is>
      </c>
      <c r="G17" s="124" t="n">
        <v>0.75</v>
      </c>
      <c r="H17" s="97" t="inlineStr">
        <is>
          <t>Lime juice (fresh)</t>
        </is>
      </c>
      <c r="I17" s="124" t="n">
        <v>0.5</v>
      </c>
      <c r="J17" s="124" t="n">
        <v>2</v>
      </c>
      <c r="K17" s="124" t="n">
        <v>0</v>
      </c>
      <c r="L17" s="99" t="inlineStr">
        <is>
          <t>Sprite + cherry syrup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97" t="inlineStr">
        <is>
          <t>Vodka</t>
        </is>
      </c>
      <c r="N17" s="125">
        <f>B17*Assumptions!$B$39*Assumptions!$B$40</f>
        <v/>
      </c>
    </row>
    <row r="18" ht="102" customHeight="1" s="93">
      <c r="A18" s="97" t="inlineStr">
        <is>
          <t>Shirley Mule</t>
        </is>
      </c>
      <c r="B18" s="122" t="n">
        <v>10</v>
      </c>
      <c r="C18" s="123">
        <f>B18/$B$19</f>
        <v/>
      </c>
      <c r="D18" s="97" t="inlineStr">
        <is>
          <t>Ginger ale</t>
        </is>
      </c>
      <c r="E18" s="124" t="n">
        <v>3</v>
      </c>
      <c r="F18" s="97" t="inlineStr">
        <is>
          <t>Cherry</t>
        </is>
      </c>
      <c r="G18" s="124" t="n">
        <v>0.75</v>
      </c>
      <c r="H18" s="97" t="inlineStr">
        <is>
          <t>Ginger beer</t>
        </is>
      </c>
      <c r="I18" s="124" t="n">
        <v>2</v>
      </c>
      <c r="J18" s="124" t="n">
        <v>0</v>
      </c>
      <c r="K18" s="124" t="n">
        <v>0</v>
      </c>
      <c r="L18" s="99" t="inlineStr">
        <is>
          <t>Ginger ale + ginger beer + cherry syrup over ice, plus a 0.5 oz fresh lime squeeze (Assumptions B154 — the two ingredient slots here are full, same situation as Tang Dynasty). Ginger is genuinely useful for dust-and-heat stomach and the ginger beer's bite cuts the cherry. Vodka is the default; whiskey works too. Ginger beer is sized on Other Consumables row 36; the Bar Add-Ons buffer covers overflow.</t>
        </is>
      </c>
      <c r="M18" s="97" t="inlineStr">
        <is>
          <t>Vodka</t>
        </is>
      </c>
      <c r="N18" s="125">
        <f>B18*Assumptions!$B$39*Assumptions!$B$40</f>
        <v/>
      </c>
    </row>
    <row r="19" ht="15.75" customHeight="1" s="93">
      <c r="A19" s="127" t="inlineStr">
        <is>
          <t>TOTAL DIRTY-SODA SERVINGS</t>
        </is>
      </c>
      <c r="B19" s="128">
        <f>SUM(B3:B18)</f>
        <v/>
      </c>
      <c r="C19" s="127" t="n"/>
      <c r="D19" s="127" t="n"/>
      <c r="E19" s="127" t="n"/>
      <c r="F19" s="127" t="n"/>
      <c r="G19" s="127" t="n"/>
      <c r="H19" s="127" t="n"/>
      <c r="I19" s="127" t="n"/>
      <c r="J19" s="127" t="n"/>
      <c r="K19" s="127" t="n"/>
      <c r="L19" s="127" t="n"/>
      <c r="M19" s="127" t="n"/>
      <c r="N19" s="128">
        <f>SUM(N3:N18)</f>
        <v/>
      </c>
    </row>
    <row r="20" ht="15.75" customHeight="1" s="93"/>
    <row r="21" ht="15.75" customHeight="1" s="93"/>
    <row r="22" ht="15.75" customHeight="1" s="93"/>
    <row r="23" ht="15.75" customHeight="1" s="93"/>
    <row r="24" ht="15.75" customHeight="1" s="93"/>
    <row r="25" ht="15.75" customHeight="1" s="93"/>
    <row r="26" ht="15.75" customHeight="1" s="93"/>
    <row r="27" ht="15.75" customHeight="1" s="93"/>
    <row r="28" ht="15.75" customHeight="1" s="93"/>
    <row r="29" ht="15.75" customHeight="1" s="93"/>
    <row r="30" ht="15.75" customHeight="1" s="93"/>
    <row r="31" ht="15.75" customHeight="1" s="93"/>
    <row r="32" ht="15.75" customHeight="1" s="93"/>
    <row r="33" ht="15.75" customHeight="1" s="93"/>
    <row r="34" ht="15.75" customHeight="1" s="93"/>
    <row r="35" ht="15.75" customHeight="1" s="93"/>
    <row r="36" ht="15.75" customHeight="1" s="93"/>
    <row r="37" ht="15.75" customHeight="1" s="93"/>
    <row r="38" ht="15.75" customHeight="1" s="93"/>
    <row r="39" ht="15.75" customHeight="1" s="93"/>
    <row r="40" ht="15.75" customHeight="1" s="93"/>
    <row r="41" ht="15.75" customHeight="1" s="93"/>
    <row r="42" ht="15.75" customHeight="1" s="93"/>
    <row r="43" ht="15.75" customHeight="1" s="93"/>
    <row r="44" ht="15.75" customHeight="1" s="93"/>
    <row r="45" ht="15.75" customHeight="1" s="93"/>
    <row r="46" ht="15.75" customHeight="1" s="93"/>
    <row r="47" ht="15.75" customHeight="1" s="93"/>
    <row r="48" ht="15.75" customHeight="1" s="93"/>
    <row r="49" ht="15.75" customHeight="1" s="93"/>
    <row r="50" ht="15.75" customHeight="1" s="93"/>
    <row r="51" ht="15.75" customHeight="1" s="93"/>
    <row r="52" ht="15.75" customHeight="1" s="93"/>
    <row r="53" ht="15.75" customHeight="1" s="93"/>
    <row r="54" ht="15.75" customHeight="1" s="93"/>
    <row r="55" ht="15.75" customHeight="1" s="93"/>
    <row r="56" ht="15.75" customHeight="1" s="93"/>
    <row r="57" ht="15.75" customHeight="1" s="93"/>
    <row r="58" ht="15.75" customHeight="1" s="93"/>
    <row r="59" ht="15.75" customHeight="1" s="93"/>
    <row r="60" ht="15.75" customHeight="1" s="93"/>
    <row r="61" ht="15.75" customHeight="1" s="93"/>
    <row r="62" ht="15.75" customHeight="1" s="93"/>
    <row r="63" ht="15.75" customHeight="1" s="93"/>
    <row r="64" ht="15.75" customHeight="1" s="93"/>
    <row r="65" ht="15.75" customHeight="1" s="93"/>
    <row r="66" ht="15.75" customHeight="1" s="93"/>
    <row r="67" ht="15.75" customHeight="1" s="93"/>
    <row r="68" ht="15.75" customHeight="1" s="93"/>
    <row r="69" ht="15.75" customHeight="1" s="93"/>
    <row r="70" ht="15.75" customHeight="1" s="93"/>
    <row r="71" ht="15.75" customHeight="1" s="93"/>
    <row r="72" ht="15.75" customHeight="1" s="93"/>
    <row r="73" ht="15.75" customHeight="1" s="93"/>
    <row r="74" ht="15.75" customHeight="1" s="93"/>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1048575" ht="12.75" customHeight="1" s="93"/>
    <row r="1048576" ht="12.75" customHeight="1" s="93"/>
  </sheetData>
  <mergeCells count="1">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0" activeCellId="0" sqref="B10"/>
    </sheetView>
  </sheetViews>
  <sheetFormatPr baseColWidth="8" defaultColWidth="14.4296875" defaultRowHeight="15" zeroHeight="0" outlineLevelRow="0"/>
  <cols>
    <col width="12" customWidth="1" style="92" min="1" max="1"/>
    <col width="8" customWidth="1" style="92" min="2" max="2"/>
    <col width="10" customWidth="1" style="92" min="3" max="3"/>
    <col width="11" customWidth="1" style="92" min="4" max="4"/>
    <col width="52" customWidth="1" style="92" min="5" max="5"/>
    <col width="11" customWidth="1" style="92" min="6" max="6"/>
    <col width="8.710000000000001" customWidth="1" style="92" min="7" max="26"/>
  </cols>
  <sheetData>
    <row r="1" ht="24" customHeight="1" s="93">
      <c r="A1" s="94" t="inlineStr">
        <is>
          <t>Fixed Kegs — finished beverages on tap</t>
        </is>
      </c>
    </row>
    <row r="3" ht="15" customHeight="1" s="93">
      <c r="A3" s="129" t="inlineStr">
        <is>
          <t>Each keg is a finished drink poured straight (plus optional add-ons). Servings/keg and price come from Assumptions. The kombucha kegs also feed two built drinks (Kombucha Mule + Tang Dynasty) and the Mexican Lager keg feeds the built Michelada — those servings are subtracted from the keg counts here so nothing is double-counted. Two continuous tap lines run all week; see the Keg Rotation tab for the day-by-day lineup.</t>
        </is>
      </c>
    </row>
    <row r="4" ht="15" customHeight="1" s="93"/>
    <row r="5" ht="15" customHeight="1" s="93">
      <c r="A5" s="121" t="inlineStr">
        <is>
          <t>Keg</t>
        </is>
      </c>
      <c r="B5" s="121" t="inlineStr">
        <is>
          <t># kegs</t>
        </is>
      </c>
      <c r="C5" s="121" t="inlineStr">
        <is>
          <t>Servings</t>
        </is>
      </c>
      <c r="D5" s="121" t="inlineStr">
        <is>
          <t>Keg $/ea</t>
        </is>
      </c>
      <c r="E5" s="121" t="inlineStr">
        <is>
          <t>Add-ons / garnish ideas</t>
        </is>
      </c>
      <c r="F5" s="121" t="inlineStr">
        <is>
          <t>Subtotal</t>
        </is>
      </c>
    </row>
    <row r="6" ht="23.25" customHeight="1" s="93">
      <c r="A6" s="130" t="inlineStr">
        <is>
          <t>Cider</t>
        </is>
      </c>
      <c r="B6" s="122" t="n">
        <v>1</v>
      </c>
      <c r="C6" s="131">
        <f>B6*Assumptions!$B$12</f>
        <v/>
      </c>
      <c r="D6" s="132">
        <f>Assumptions!$B$24</f>
        <v/>
      </c>
      <c r="E6" s="99" t="inlineStr">
        <is>
          <t>Sun-Mon on the 'other tap' line, opening with the Sunday party. Cinnamon-sugar rim, apple/pear slice, orange squeeze, rosemary/thyme sprig, candied ginger, pomegranate float</t>
        </is>
      </c>
      <c r="F6" s="133">
        <f>B6*(D6+Assumptions!$B$28)</f>
        <v/>
      </c>
    </row>
    <row r="7" ht="23.25" customHeight="1" s="93">
      <c r="A7" s="130" t="inlineStr">
        <is>
          <t>Kombucha (passionfruit)</t>
        </is>
      </c>
      <c r="B7" s="122" t="n">
        <v>2</v>
      </c>
      <c r="C7" s="131">
        <f>B7*Assumptions!$B$12-Recipes!$B$11-Recipes!$B$3</f>
        <v/>
      </c>
      <c r="D7" s="132">
        <f>Assumptions!$B$25</f>
        <v/>
      </c>
      <c r="E7" s="99" t="inlineStr">
        <is>
          <t>Tue-Fri on the 'other tap' line. Two kegs, 150 pours: 40 Tang Dynasty + 40 SCOBY-Dew + the rest straight. SCOBY-Dew can equally be pulled from the Clear Mind keg — it is netted out here only so the maths has one home. Tang Dynasty should always come off THIS keg (passionfruit).</t>
        </is>
      </c>
      <c r="F7" s="133">
        <f>B7*(D7+Assumptions!$B$28)</f>
        <v/>
      </c>
    </row>
    <row r="8" ht="23.25" customHeight="1" s="93">
      <c r="A8" s="130" t="inlineStr">
        <is>
          <t>Ancho Paloma Sour Ale</t>
        </is>
      </c>
      <c r="B8" s="122" t="n">
        <v>1</v>
      </c>
      <c r="C8" s="131">
        <f>B8*Assumptions!$B$12</f>
        <v/>
      </c>
      <c r="D8" s="132">
        <f>Assumptions!$B$58</f>
        <v/>
      </c>
      <c r="E8" s="99" t="inlineStr">
        <is>
          <t>Sunday party + Mon-Tue on the beer line; served straight, grapefruit wheel garnish.</t>
        </is>
      </c>
      <c r="F8" s="133">
        <f>B8*(D8+Assumptions!$B$28)</f>
        <v/>
      </c>
    </row>
    <row r="9" ht="34.5" customHeight="1" s="93">
      <c r="A9" s="130" t="inlineStr">
        <is>
          <t>Green tea</t>
        </is>
      </c>
      <c r="B9" s="122" t="n">
        <v>1</v>
      </c>
      <c r="C9" s="131">
        <f>B9*Assumptions!$B$12-Recipes!$B$13</f>
        <v/>
      </c>
      <c r="D9" s="132">
        <f>Assumptions!$B$27</f>
        <v/>
      </c>
      <c r="E9" s="99" t="inlineStr">
        <is>
          <t>Saturday on the 'other tap' line — Catboy Café finale. The keg's 50 pours split 33 built Catboy Café Green Tea (Recipes row 14) + the remainder poured straight as the Green Tea Refresher: aloe vera drink + tea, optional lychee + syrup, mint, cucumber, yuzu/lemon, honey, agar boba. The built servings are netted out here so they aren't double-counted.</t>
        </is>
      </c>
      <c r="F9" s="133">
        <f>B9*(D9+Assumptions!$B$28)+Assumptions!$B$63*Assumptions!$B$62</f>
        <v/>
      </c>
    </row>
    <row r="10" ht="15" customHeight="1" s="93">
      <c r="A10" s="130" t="inlineStr">
        <is>
          <t>Biggest Little Blonde Ale</t>
        </is>
      </c>
      <c r="B10" s="134" t="n">
        <v>1</v>
      </c>
      <c r="C10" s="135">
        <f>B10*Assumptions!$B$66</f>
        <v/>
      </c>
      <c r="D10" s="130">
        <f>Assumptions!$B$59*Assumptions!$B$65</f>
        <v/>
      </c>
      <c r="E10" s="130" t="inlineStr">
        <is>
          <t>Closes out the beer line Fri-Sat (half keg).</t>
        </is>
      </c>
      <c r="F10" s="136">
        <f>B10*(D10+Assumptions!$B$28)</f>
        <v/>
      </c>
    </row>
    <row r="11" ht="15" customHeight="1" s="93">
      <c r="A11" s="92" t="inlineStr">
        <is>
          <t>Mexican Lager</t>
        </is>
      </c>
      <c r="B11" s="137" t="n">
        <v>1</v>
      </c>
      <c r="C11" s="92">
        <f>B11*Assumptions!$B$12-Recipes!$B$4</f>
        <v/>
      </c>
      <c r="D11" s="92">
        <f>Assumptions!$B$67</f>
        <v/>
      </c>
      <c r="E11" s="92" t="inlineStr">
        <is>
          <t>Wed-Thu on the beer line. Splits 30 built Micheladas (chelada mix, Tajin rim, lime, Clamato) + 20 straight pours; the Michelada servings are netted out of this row so they aren't double-counted against the Recipes tab.</t>
        </is>
      </c>
      <c r="F11" s="92">
        <f>B11*(D11+Assumptions!$B$28)</f>
        <v/>
      </c>
    </row>
    <row r="12" ht="15" customHeight="1" s="93">
      <c r="A12" s="92" t="inlineStr">
        <is>
          <t>Kombucha (Clear Mind)</t>
        </is>
      </c>
      <c r="B12" s="137" t="n">
        <v>1</v>
      </c>
      <c r="C12" s="92">
        <f>B12*Assumptions!$B$12-Recipes!$B$14</f>
        <v/>
      </c>
      <c r="D12" s="92">
        <f>Assumptions!$B$145</f>
        <v/>
      </c>
      <c r="E12" s="92" t="inlineStr">
        <is>
          <t>Brew Dr. Clear Mind — rosemary, mint, sage, green tea. Feeds the built Clear Cache (peach + lemon + sage); remainder poured straight. Herbaceous and savoury, so keep Tang Dynasty's passionfruit off this one — sage and passionfruit clash.</t>
        </is>
      </c>
      <c r="F12" s="92">
        <f>B12*(D12+Assumptions!$B$28)</f>
        <v/>
      </c>
    </row>
    <row r="13" ht="15" customHeight="1" s="93">
      <c r="A13" s="138" t="inlineStr">
        <is>
          <t>TOTAL KEGS</t>
        </is>
      </c>
      <c r="B13" s="138">
        <f>SUM(B6:B12)</f>
        <v/>
      </c>
      <c r="C13" s="138">
        <f>SUM(C6:C12)</f>
        <v/>
      </c>
      <c r="D13" s="138" t="n"/>
      <c r="E13" s="138" t="n"/>
      <c r="F13" s="138">
        <f>SUM(F6:F12)</f>
        <v/>
      </c>
    </row>
    <row r="21" ht="15.75" customHeight="1" s="93"/>
    <row r="22" ht="15.75" customHeight="1" s="93"/>
    <row r="23" ht="15.75" customHeight="1" s="93"/>
    <row r="24" ht="15.75" customHeight="1" s="93"/>
    <row r="25" ht="15.75" customHeight="1" s="93"/>
    <row r="26" ht="15.75" customHeight="1" s="93"/>
    <row r="27" ht="15.75" customHeight="1" s="93"/>
    <row r="28" ht="15.75" customHeight="1" s="93"/>
    <row r="29" ht="15.75" customHeight="1" s="93"/>
    <row r="30" ht="15.75" customHeight="1" s="93"/>
    <row r="31" ht="15.75" customHeight="1" s="93"/>
    <row r="32" ht="15.75" customHeight="1" s="93"/>
    <row r="33" ht="15.75" customHeight="1" s="93"/>
    <row r="34" ht="15.75" customHeight="1" s="93"/>
    <row r="35" ht="15.75" customHeight="1" s="93"/>
    <row r="36" ht="15.75" customHeight="1" s="93"/>
    <row r="37" ht="15.75" customHeight="1" s="93"/>
    <row r="38" ht="15.75" customHeight="1" s="93"/>
    <row r="39" ht="15.75" customHeight="1" s="93"/>
    <row r="40" ht="15.75" customHeight="1" s="93"/>
    <row r="41" ht="15.75" customHeight="1" s="93"/>
    <row r="42" ht="15.75" customHeight="1" s="93"/>
    <row r="43" ht="15.75" customHeight="1" s="93"/>
    <row r="44" ht="15.75" customHeight="1" s="93"/>
    <row r="45" ht="15.75" customHeight="1" s="93"/>
    <row r="46" ht="15.75" customHeight="1" s="93"/>
    <row r="47" ht="15.75" customHeight="1" s="93"/>
    <row r="48" ht="15.75" customHeight="1" s="93"/>
    <row r="49" ht="15.75" customHeight="1" s="93"/>
    <row r="50" ht="15.75" customHeight="1" s="93"/>
    <row r="51" ht="15.75" customHeight="1" s="93"/>
    <row r="52" ht="15.75" customHeight="1" s="93"/>
    <row r="53" ht="15.75" customHeight="1" s="93"/>
    <row r="54" ht="15.75" customHeight="1" s="93"/>
    <row r="55" ht="15.75" customHeight="1" s="93"/>
    <row r="56" ht="15.75" customHeight="1" s="93"/>
    <row r="57" ht="15.75" customHeight="1" s="93"/>
    <row r="58" ht="15.75" customHeight="1" s="93"/>
    <row r="59" ht="15.75" customHeight="1" s="93"/>
    <row r="60" ht="15.75" customHeight="1" s="93"/>
    <row r="61" ht="15.75" customHeight="1" s="93"/>
    <row r="62" ht="15.75" customHeight="1" s="93"/>
    <row r="63" ht="15.75" customHeight="1" s="93"/>
    <row r="64" ht="15.75" customHeight="1" s="93"/>
    <row r="65" ht="15.75" customHeight="1" s="93"/>
    <row r="66" ht="15.75" customHeight="1" s="93"/>
    <row r="67" ht="15.75" customHeight="1" s="93"/>
    <row r="68" ht="15.75" customHeight="1" s="93"/>
    <row r="69" ht="15.75" customHeight="1" s="93"/>
    <row r="70" ht="15.75" customHeight="1" s="93"/>
    <row r="71" ht="15.75" customHeight="1" s="93"/>
    <row r="72" ht="15.75" customHeight="1" s="93"/>
    <row r="73" ht="15.75" customHeight="1" s="93"/>
    <row r="74" ht="15.75" customHeight="1" s="93"/>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999" ht="15.75" customHeight="1" s="93"/>
    <row r="1000" ht="15.75" customHeight="1" s="93"/>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296875" defaultRowHeight="15" zeroHeight="0" outlineLevelRow="0"/>
  <cols>
    <col width="15" customWidth="1" style="92" min="1" max="1"/>
    <col width="12" customWidth="1" style="92" min="2" max="3"/>
    <col width="9" customWidth="1" style="92" min="4" max="4"/>
    <col width="8" customWidth="1" style="92" min="5" max="5"/>
    <col width="26" customWidth="1" style="92" min="6" max="6"/>
    <col width="8.710000000000001" customWidth="1" style="92" min="7" max="26"/>
  </cols>
  <sheetData>
    <row r="1" ht="24" customHeight="1" s="93">
      <c r="A1" s="94" t="inlineStr">
        <is>
          <t>Base Soda Requirement → Cans &amp; Cases</t>
        </is>
      </c>
    </row>
    <row r="3" ht="15" customHeight="1" s="93">
      <c r="A3" s="121" t="inlineStr">
        <is>
          <t>Base soda</t>
        </is>
      </c>
      <c r="B3" s="121" t="inlineStr">
        <is>
          <t>Total oz</t>
        </is>
      </c>
      <c r="C3" s="121" t="inlineStr">
        <is>
          <t>+buffer</t>
        </is>
      </c>
      <c r="D3" s="121" t="inlineStr">
        <is>
          <t>Cans</t>
        </is>
      </c>
      <c r="E3" s="121" t="inlineStr">
        <is>
          <t>Cases</t>
        </is>
      </c>
      <c r="F3" s="121" t="inlineStr">
        <is>
          <t>Note</t>
        </is>
      </c>
    </row>
    <row r="4" ht="15" customHeight="1" s="93">
      <c r="A4" s="97" t="inlineStr">
        <is>
          <t>Sprite</t>
        </is>
      </c>
      <c r="B4" s="139">
        <f>SUMPRODUCT((Recipes!$D$3:$D$18=A4)*Recipes!$E$3:$E$18*Recipes!$B$3:$B$18)+SUMPRODUCT((Recipes!$D$3:$D$18="Squirt")*2*Recipes!$B$3:$B$18)+SUMPRODUCT(('Daily Schedule'!$F$4:$F$15="Sprite")*'Daily Schedule'!$G$4:$G$15)+SUMPRODUCT(('Daily Schedule'!$H$4:$H$15="Sprite")*'Daily Schedule'!$I$4:$I$15)+SUMPRODUCT(('Daily Schedule'!$J$4:$J$15="Sprite")*'Daily Schedule'!$K$4:$K$15)+SUMPRODUCT(('Daily Schedule'!$L$4:$L$15="Sprite")*'Daily Schedule'!$M$4:$M$15)+SUMPRODUCT(('Daily Schedule'!$N$4:$N$15="Sprite")*'Daily Schedule'!$O$4:$O$15)</f>
        <v/>
      </c>
      <c r="C4" s="139">
        <f>B4*(1+Assumptions!$B$5)</f>
        <v/>
      </c>
      <c r="D4" s="140">
        <f>CEILING(C4/Assumptions!$B$7,1)</f>
        <v/>
      </c>
      <c r="E4" s="140">
        <f>CEILING(D4/Assumptions!$B$6,1)</f>
        <v/>
      </c>
      <c r="F4" s="99" t="n"/>
    </row>
    <row r="5" ht="15" customHeight="1" s="93">
      <c r="A5" s="97" t="inlineStr">
        <is>
          <t>Coke</t>
        </is>
      </c>
      <c r="B5" s="139">
        <f>SUMPRODUCT((Recipes!$D$3:$D$18=A5)*Recipes!$E$3:$E$18*Recipes!$B$3:$B$18)</f>
        <v/>
      </c>
      <c r="C5" s="139">
        <f>B5*(1+Assumptions!$B$5)</f>
        <v/>
      </c>
      <c r="D5" s="140">
        <f>CEILING(C5/Assumptions!$B$7,1)</f>
        <v/>
      </c>
      <c r="E5" s="140">
        <f>CEILING(D5/Assumptions!$B$6,1)</f>
        <v/>
      </c>
      <c r="F5" s="99" t="n"/>
    </row>
    <row r="6" ht="15" customHeight="1" s="93">
      <c r="A6" s="97" t="inlineStr">
        <is>
          <t>Orange Fanta</t>
        </is>
      </c>
      <c r="B6" s="139">
        <f>SUMPRODUCT((Recipes!$D$3:$D$18=A6)*Recipes!$E$3:$E$18*Recipes!$B$3:$B$18)</f>
        <v/>
      </c>
      <c r="C6" s="139">
        <f>B6*(1+Assumptions!$B$5)</f>
        <v/>
      </c>
      <c r="D6" s="140">
        <f>CEILING(C6/Assumptions!$B$7,1)</f>
        <v/>
      </c>
      <c r="E6" s="140">
        <f>CEILING(D6/Assumptions!$B$6,1)</f>
        <v/>
      </c>
      <c r="F6" s="99" t="n"/>
    </row>
    <row r="7" ht="15" customHeight="1" s="93">
      <c r="A7" s="97" t="inlineStr">
        <is>
          <t>Lemonade</t>
        </is>
      </c>
      <c r="B7" s="139">
        <f>SUMPRODUCT((Recipes!$D$3:$D$18=A7)*Recipes!$E$3:$E$18*Recipes!$B$3:$B$18)</f>
        <v/>
      </c>
      <c r="C7" s="139">
        <f>B7*(1+Assumptions!$B$5)</f>
        <v/>
      </c>
      <c r="D7" s="140">
        <f>CEILING(C7/Assumptions!$B$7,1)</f>
        <v/>
      </c>
      <c r="E7" s="140">
        <f>CEILING(D7/Assumptions!$B$6,1)</f>
        <v/>
      </c>
      <c r="F7" s="99" t="inlineStr">
        <is>
          <t>Mixed/priced separately</t>
        </is>
      </c>
    </row>
    <row r="8" ht="15" customHeight="1" s="93">
      <c r="A8" s="97" t="inlineStr">
        <is>
          <t>Dr Pepper</t>
        </is>
      </c>
      <c r="B8" s="139">
        <f>SUMPRODUCT((Recipes!$D$3:$D$18=A8)*Recipes!$E$3:$E$18*Recipes!$B$3:$B$18)</f>
        <v/>
      </c>
      <c r="C8" s="139">
        <f>B8*(1+Assumptions!$B$5)</f>
        <v/>
      </c>
      <c r="D8" s="140">
        <f>CEILING(C8/Assumptions!$B$7,1)</f>
        <v/>
      </c>
      <c r="E8" s="140">
        <f>CEILING(D8/Assumptions!$B$6,1)</f>
        <v/>
      </c>
      <c r="F8" s="99" t="n"/>
    </row>
    <row r="9" ht="15" customHeight="1" s="93">
      <c r="A9" s="97" t="inlineStr">
        <is>
          <t>Ginger ale</t>
        </is>
      </c>
      <c r="B9" s="139">
        <f>SUMPRODUCT((Recipes!$D$3:$D$18=A9)*Recipes!$E$3:$E$18*Recipes!$B$3:$B$18)</f>
        <v/>
      </c>
      <c r="C9" s="139">
        <f>B9*(1+Assumptions!$B$5)</f>
        <v/>
      </c>
      <c r="D9" s="140">
        <f>CEILING(C9/Assumptions!$B$7,1)</f>
        <v/>
      </c>
      <c r="E9" s="140">
        <f>CEILING(D9/Assumptions!$B$6,1)</f>
        <v/>
      </c>
      <c r="F9" s="99" t="n"/>
    </row>
    <row r="10" ht="15" customHeight="1" s="93">
      <c r="A10" s="97" t="inlineStr">
        <is>
          <t>Squirt</t>
        </is>
      </c>
      <c r="B10" s="139">
        <f>SUMPRODUCT((Recipes!$D$3:$D$18=A10)*Recipes!$E$3:$E$18*Recipes!$B$3:$B$18)</f>
        <v/>
      </c>
      <c r="C10" s="139">
        <f>B10*(1+Assumptions!$B$5)</f>
        <v/>
      </c>
      <c r="D10" s="140">
        <f>CEILING(C10/Assumptions!$B$7,1)</f>
        <v/>
      </c>
      <c r="E10" s="140">
        <f>CEILING(D10/Assumptions!$B$6,1)</f>
        <v/>
      </c>
      <c r="F10" s="99" t="n"/>
    </row>
    <row r="11" ht="15" customHeight="1" s="93">
      <c r="A11" s="97" t="inlineStr">
        <is>
          <t>Horchata mix</t>
        </is>
      </c>
      <c r="B11" s="139">
        <f>SUMPRODUCT((Recipes!$D$3:$D$18=A11)*Recipes!$E$3:$E$18*Recipes!$B$3:$B$18)+SUMPRODUCT(('Daily Schedule'!$F$4:$F$15="Horchata mix")*'Daily Schedule'!$G$4:$G$15)+SUMPRODUCT(('Daily Schedule'!$H$4:$H$15="Horchata mix")*'Daily Schedule'!$I$4:$I$15)+SUMPRODUCT(('Daily Schedule'!$J$4:$J$15="Horchata mix")*'Daily Schedule'!$K$4:$K$15)+SUMPRODUCT(('Daily Schedule'!$L$4:$L$15="Horchata mix")*'Daily Schedule'!$M$4:$M$15)+SUMPRODUCT(('Daily Schedule'!$N$4:$N$15="Horchata mix")*'Daily Schedule'!$O$4:$O$15)</f>
        <v/>
      </c>
      <c r="C11" s="139">
        <f>B11*(1+Assumptions!$B$5)</f>
        <v/>
      </c>
      <c r="D11" s="140">
        <f>CEILING(C11/Assumptions!$B$7,1)</f>
        <v/>
      </c>
      <c r="E11" s="140">
        <f>CEILING(D11/Assumptions!$B$6,1)</f>
        <v/>
      </c>
      <c r="F11" s="99" t="inlineStr">
        <is>
          <t>Mixed/priced separately</t>
        </is>
      </c>
    </row>
    <row r="12" ht="15" customHeight="1" s="93">
      <c r="A12" s="127" t="inlineStr">
        <is>
          <t>Mountain Dew</t>
        </is>
      </c>
      <c r="B12" s="141">
        <f>SUMPRODUCT((Recipes!$D$3:$D$18=A12)*Recipes!$E$3:$E$18*Recipes!$B$3:$B$18)+SUMPRODUCT(('Daily Schedule'!$F$4:$F$15="Mountain Dew")*'Daily Schedule'!$G$4:$G$15)+SUMPRODUCT(('Daily Schedule'!$H$4:$H$15="Mountain Dew")*'Daily Schedule'!$I$4:$I$15)+SUMPRODUCT(('Daily Schedule'!$J$4:$J$15="Mountain Dew")*'Daily Schedule'!$K$4:$K$15)+SUMPRODUCT(('Daily Schedule'!$L$4:$L$15="Mountain Dew")*'Daily Schedule'!$M$4:$M$15)+SUMPRODUCT(('Daily Schedule'!$N$4:$N$15="Mountain Dew")*'Daily Schedule'!$O$4:$O$15)</f>
        <v/>
      </c>
      <c r="C12" s="141">
        <f>B12*(1+Assumptions!$B$5)</f>
        <v/>
      </c>
      <c r="D12" s="141">
        <f>CEILING(C12/Assumptions!$B$7,1)</f>
        <v/>
      </c>
      <c r="E12" s="141">
        <f>CEILING(D12/Assumptions!$B$6,1)</f>
        <v/>
      </c>
      <c r="F12" s="127" t="inlineStr">
        <is>
          <t>Daily special (Tue Baja Blast)</t>
        </is>
      </c>
    </row>
    <row r="13" ht="15" customHeight="1" s="93">
      <c r="A13" s="92" t="inlineStr">
        <is>
          <t>TOTAL</t>
        </is>
      </c>
      <c r="B13" s="92">
        <f>SUM(B4:B12)</f>
        <v/>
      </c>
      <c r="C13" s="92">
        <f>SUM(C4:C12)</f>
        <v/>
      </c>
      <c r="D13" s="92">
        <f>SUM(D4:D12)</f>
        <v/>
      </c>
      <c r="E13" s="92">
        <f>SUM(E4:E12)</f>
        <v/>
      </c>
    </row>
    <row r="21" ht="15.75" customHeight="1" s="93"/>
    <row r="22" ht="15.75" customHeight="1" s="93"/>
    <row r="23" ht="15.75" customHeight="1" s="93"/>
    <row r="24" ht="15.75" customHeight="1" s="93"/>
    <row r="25" ht="15.75" customHeight="1" s="93"/>
    <row r="26" ht="15.75" customHeight="1" s="93"/>
    <row r="27" ht="15.75" customHeight="1" s="93"/>
    <row r="28" ht="15.75" customHeight="1" s="93"/>
    <row r="29" ht="15.75" customHeight="1" s="93"/>
    <row r="30" ht="15.75" customHeight="1" s="93"/>
    <row r="31" ht="15.75" customHeight="1" s="93"/>
    <row r="32" ht="15.75" customHeight="1" s="93"/>
    <row r="33" ht="15.75" customHeight="1" s="93"/>
    <row r="34" ht="15.75" customHeight="1" s="93"/>
    <row r="35" ht="15.75" customHeight="1" s="93"/>
    <row r="36" ht="15.75" customHeight="1" s="93"/>
    <row r="37" ht="15.75" customHeight="1" s="93"/>
    <row r="38" ht="15.75" customHeight="1" s="93"/>
    <row r="39" ht="15.75" customHeight="1" s="93"/>
    <row r="40" ht="15.75" customHeight="1" s="93"/>
    <row r="41" ht="15.75" customHeight="1" s="93"/>
    <row r="42" ht="15.75" customHeight="1" s="93"/>
    <row r="43" ht="15.75" customHeight="1" s="93"/>
    <row r="44" ht="15.75" customHeight="1" s="93"/>
    <row r="45" ht="15.75" customHeight="1" s="93"/>
    <row r="46" ht="15.75" customHeight="1" s="93"/>
    <row r="47" ht="15.75" customHeight="1" s="93"/>
    <row r="48" ht="15.75" customHeight="1" s="93"/>
    <row r="49" ht="15.75" customHeight="1" s="93"/>
    <row r="50" ht="15.75" customHeight="1" s="93"/>
    <row r="51" ht="15.75" customHeight="1" s="93"/>
    <row r="52" ht="15.75" customHeight="1" s="93"/>
    <row r="53" ht="15.75" customHeight="1" s="93"/>
    <row r="54" ht="15.75" customHeight="1" s="93"/>
    <row r="55" ht="15.75" customHeight="1" s="93"/>
    <row r="56" ht="15.75" customHeight="1" s="93"/>
    <row r="57" ht="15.75" customHeight="1" s="93"/>
    <row r="58" ht="15.75" customHeight="1" s="93"/>
    <row r="59" ht="15.75" customHeight="1" s="93"/>
    <row r="60" ht="15.75" customHeight="1" s="93"/>
    <row r="61" ht="15.75" customHeight="1" s="93"/>
    <row r="62" ht="15.75" customHeight="1" s="93"/>
    <row r="63" ht="15.75" customHeight="1" s="93"/>
    <row r="64" ht="15.75" customHeight="1" s="93"/>
    <row r="65" ht="15.75" customHeight="1" s="93"/>
    <row r="66" ht="15.75" customHeight="1" s="93"/>
    <row r="67" ht="15.75" customHeight="1" s="93"/>
    <row r="68" ht="15.75" customHeight="1" s="93"/>
    <row r="69" ht="15.75" customHeight="1" s="93"/>
    <row r="70" ht="15.75" customHeight="1" s="93"/>
    <row r="71" ht="15.75" customHeight="1" s="93"/>
    <row r="72" ht="15.75" customHeight="1" s="93"/>
    <row r="73" ht="15.75" customHeight="1" s="93"/>
    <row r="74" ht="15.75" customHeight="1" s="93"/>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999" ht="15.75" customHeight="1" s="93"/>
    <row r="1000" ht="15.75" customHeight="1" s="93"/>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444"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92" min="1" max="1"/>
    <col width="12" customWidth="1" style="92" min="2" max="3"/>
    <col width="9" customWidth="1" style="92" min="4" max="4"/>
    <col width="28" customWidth="1" style="92" min="5" max="5"/>
    <col width="8.710000000000001" customWidth="1" style="92" min="6" max="26"/>
  </cols>
  <sheetData>
    <row r="1" ht="24" customHeight="1" s="93">
      <c r="A1" s="94" t="inlineStr">
        <is>
          <t>Other Consumables — syrups, cream, dairy, garnish</t>
        </is>
      </c>
    </row>
    <row r="3" ht="15" customHeight="1" s="93">
      <c r="A3" s="95" t="inlineStr">
        <is>
          <t>SYRUPS</t>
        </is>
      </c>
    </row>
    <row r="4" ht="15" customHeight="1" s="93">
      <c r="A4" s="96" t="inlineStr">
        <is>
          <t>Syrup</t>
        </is>
      </c>
      <c r="B4" s="96" t="inlineStr">
        <is>
          <t>Total oz</t>
        </is>
      </c>
      <c r="C4" s="96" t="inlineStr">
        <is>
          <t>+buffer</t>
        </is>
      </c>
      <c r="D4" s="96" t="inlineStr">
        <is>
          <t>Bottles</t>
        </is>
      </c>
      <c r="E4" s="96" t="inlineStr">
        <is>
          <t>Note</t>
        </is>
      </c>
    </row>
    <row r="5" ht="15" customHeight="1" s="93">
      <c r="A5" s="97" t="inlineStr">
        <is>
          <t>Peach</t>
        </is>
      </c>
      <c r="B5" s="139">
        <f>SUMPRODUCT((Recipes!$F$3:$F$18=A5)*Recipes!$G$3:$G$18*Recipes!$B$3:$B$18)+SUMPRODUCT((Recipes!$H$3:$H$18=A5)*Recipes!$I$3:$I$18*Recipes!$B$3:$B$18)+SUMPRODUCT(('Daily Schedule'!$F$4:$F$15="Peach syrup")*'Daily Schedule'!$G$4:$G$15)+SUMPRODUCT(('Daily Schedule'!$H$4:$H$15="Peach syrup")*'Daily Schedule'!$I$4:$I$15)+SUMPRODUCT(('Daily Schedule'!$J$4:$J$15="Peach syrup")*'Daily Schedule'!$K$4:$K$15)+SUMPRODUCT(('Daily Schedule'!$L$4:$L$15="Peach syrup")*'Daily Schedule'!$M$4:$M$15)+SUMPRODUCT(('Daily Schedule'!$N$4:$N$15="Peach syrup")*'Daily Schedule'!$O$4:$O$15)</f>
        <v/>
      </c>
      <c r="C5" s="139">
        <f>B5*(1+Assumptions!$B$5)</f>
        <v/>
      </c>
      <c r="D5" s="140">
        <f>CEILING(C5/Assumptions!$B$8,1)</f>
        <v/>
      </c>
      <c r="E5" s="97" t="inlineStr">
        <is>
          <t>Torani 750ml</t>
        </is>
      </c>
    </row>
    <row r="6" ht="15" customHeight="1" s="93">
      <c r="A6" s="97" t="inlineStr">
        <is>
          <t>Pineapple</t>
        </is>
      </c>
      <c r="B6" s="139">
        <f>SUMPRODUCT((Recipes!$F$3:$F$18=A6)*Recipes!$G$3:$G$18*Recipes!$B$3:$B$18)+SUMPRODUCT((Recipes!$H$3:$H$18=A6)*Recipes!$I$3:$I$18*Recipes!$B$3:$B$18)+SUMPRODUCT(('Daily Schedule'!$F$4:$F$15="Pineapple syrup")*'Daily Schedule'!$G$4:$G$15)+SUMPRODUCT(('Daily Schedule'!$H$4:$H$15="Pineapple syrup")*'Daily Schedule'!$I$4:$I$15)+SUMPRODUCT(('Daily Schedule'!$J$4:$J$15="Pineapple syrup")*'Daily Schedule'!$K$4:$K$15)+SUMPRODUCT(('Daily Schedule'!$L$4:$L$15="Pineapple syrup")*'Daily Schedule'!$M$4:$M$15)+SUMPRODUCT(('Daily Schedule'!$N$4:$N$15="Pineapple syrup")*'Daily Schedule'!$O$4:$O$15)</f>
        <v/>
      </c>
      <c r="C6" s="139">
        <f>B6*(1+Assumptions!$B$5)</f>
        <v/>
      </c>
      <c r="D6" s="140">
        <f>CEILING(C6/Assumptions!$B$8,1)</f>
        <v/>
      </c>
      <c r="E6" s="97" t="inlineStr">
        <is>
          <t>Torani 750ml</t>
        </is>
      </c>
    </row>
    <row r="7" ht="15" customHeight="1" s="93">
      <c r="A7" s="97" t="inlineStr">
        <is>
          <t>Vanilla</t>
        </is>
      </c>
      <c r="B7" s="139">
        <f>SUMPRODUCT((Recipes!$F$3:$F$18=A7)*Recipes!$G$3:$G$18*Recipes!$B$3:$B$18)+SUMPRODUCT((Recipes!$H$3:$H$18=A7)*Recipes!$I$3:$I$18*Recipes!$B$3:$B$18)+SUMPRODUCT(('Daily Schedule'!$F$4:$F$15="Vanilla syrup")*'Daily Schedule'!$G$4:$G$15)+SUMPRODUCT(('Daily Schedule'!$H$4:$H$15="Vanilla syrup")*'Daily Schedule'!$I$4:$I$15)+SUMPRODUCT(('Daily Schedule'!$J$4:$J$15="Vanilla syrup")*'Daily Schedule'!$K$4:$K$15)+SUMPRODUCT(('Daily Schedule'!$L$4:$L$15="Vanilla syrup")*'Daily Schedule'!$M$4:$M$15)+SUMPRODUCT(('Daily Schedule'!$N$4:$N$15="Vanilla syrup")*'Daily Schedule'!$O$4:$O$15)</f>
        <v/>
      </c>
      <c r="C7" s="139">
        <f>B7*(1+Assumptions!$B$5)</f>
        <v/>
      </c>
      <c r="D7" s="140">
        <f>CEILING(C7/Assumptions!$B$8,1)</f>
        <v/>
      </c>
      <c r="E7" s="97" t="inlineStr">
        <is>
          <t>Torani 750ml</t>
        </is>
      </c>
    </row>
    <row r="8" ht="15" customHeight="1" s="93">
      <c r="A8" s="97" t="inlineStr">
        <is>
          <t>Cherry</t>
        </is>
      </c>
      <c r="B8" s="139">
        <f>SUMPRODUCT((Recipes!$F$3:$F$18=A8)*Recipes!$G$3:$G$18*Recipes!$B$3:$B$18)+SUMPRODUCT((Recipes!$H$3:$H$18=A8)*Recipes!$I$3:$I$18*Recipes!$B$3:$B$18)+SUMPRODUCT(('Daily Schedule'!$F$4:$F$15="Cherry syrup")*'Daily Schedule'!$G$4:$G$15)+SUMPRODUCT(('Daily Schedule'!$H$4:$H$15="Cherry syrup")*'Daily Schedule'!$I$4:$I$15)+SUMPRODUCT(('Daily Schedule'!$J$4:$J$15="Cherry syrup")*'Daily Schedule'!$K$4:$K$15)+SUMPRODUCT(('Daily Schedule'!$L$4:$L$15="Cherry syrup")*'Daily Schedule'!$M$4:$M$15)+SUMPRODUCT(('Daily Schedule'!$N$4:$N$15="Cherry syrup")*'Daily Schedule'!$O$4:$O$15)</f>
        <v/>
      </c>
      <c r="C8" s="139">
        <f>B8*(1+Assumptions!$B$5)</f>
        <v/>
      </c>
      <c r="D8" s="140">
        <f>CEILING(C8/Assumptions!$B$8,1)</f>
        <v/>
      </c>
      <c r="E8" s="97" t="inlineStr">
        <is>
          <t>Torani 750ml</t>
        </is>
      </c>
    </row>
    <row r="9" ht="15" customHeight="1" s="93">
      <c r="A9" s="97" t="inlineStr">
        <is>
          <t>Watermelon</t>
        </is>
      </c>
      <c r="B9" s="139">
        <f>SUMPRODUCT((Recipes!$F$3:$F$18=A9)*Recipes!$G$3:$G$18*Recipes!$B$3:$B$18)+SUMPRODUCT((Recipes!$H$3:$H$18=A9)*Recipes!$I$3:$I$18*Recipes!$B$3:$B$18)+SUMPRODUCT(('Daily Schedule'!$F$4:$F$15="Watermelon syrup")*'Daily Schedule'!$G$4:$G$15)+SUMPRODUCT(('Daily Schedule'!$H$4:$H$15="Watermelon syrup")*'Daily Schedule'!$I$4:$I$15)+SUMPRODUCT(('Daily Schedule'!$J$4:$J$15="Watermelon syrup")*'Daily Schedule'!$K$4:$K$15)+SUMPRODUCT(('Daily Schedule'!$L$4:$L$15="Watermelon syrup")*'Daily Schedule'!$M$4:$M$15)+SUMPRODUCT(('Daily Schedule'!$N$4:$N$15="Watermelon syrup")*'Daily Schedule'!$O$4:$O$15)</f>
        <v/>
      </c>
      <c r="C9" s="139">
        <f>B9*(1+Assumptions!$B$5)</f>
        <v/>
      </c>
      <c r="D9" s="140">
        <f>CEILING(C9/Assumptions!$B$8,1)</f>
        <v/>
      </c>
      <c r="E9" s="97" t="inlineStr">
        <is>
          <t>Torani 750ml</t>
        </is>
      </c>
    </row>
    <row r="10" ht="15" customHeight="1" s="93">
      <c r="A10" s="97" t="inlineStr">
        <is>
          <t>Melon</t>
        </is>
      </c>
      <c r="B10" s="139">
        <f>SUMPRODUCT((Recipes!$F$3:$F$18=A10)*Recipes!$G$3:$G$18*Recipes!$B$3:$B$18)+SUMPRODUCT((Recipes!$H$3:$H$18=A10)*Recipes!$I$3:$I$18*Recipes!$B$3:$B$18)</f>
        <v/>
      </c>
      <c r="C10" s="139">
        <f>B10*(1+Assumptions!$B$5)</f>
        <v/>
      </c>
      <c r="D10" s="140">
        <f>CEILING(C10/Assumptions!$B$8,1)</f>
        <v/>
      </c>
      <c r="E10" s="97" t="inlineStr">
        <is>
          <t>Torani 750ml — green melon (midori-style). Catboy Snot + a 6th Italian-soda flavour.</t>
        </is>
      </c>
    </row>
    <row r="11" ht="15" customHeight="1" s="93">
      <c r="A11" s="97" t="inlineStr">
        <is>
          <t>Lemon</t>
        </is>
      </c>
      <c r="B11" s="139">
        <f>SUMPRODUCT((Recipes!$F$3:$F$18=A11)*Recipes!$G$3:$G$18*Recipes!$B$3:$B$18)+SUMPRODUCT((Recipes!$H$3:$H$18=A11)*Recipes!$I$3:$I$18*Recipes!$B$3:$B$18)+SUMPRODUCT(('Daily Schedule'!$F$4:$F$15="Lemon syrup")*'Daily Schedule'!$G$4:$G$15)+SUMPRODUCT(('Daily Schedule'!$H$4:$H$15="Lemon syrup")*'Daily Schedule'!$I$4:$I$15)+SUMPRODUCT(('Daily Schedule'!$J$4:$J$15="Lemon syrup")*'Daily Schedule'!$K$4:$K$15)+SUMPRODUCT(('Daily Schedule'!$L$4:$L$15="Lemon syrup")*'Daily Schedule'!$M$4:$M$15)+SUMPRODUCT(('Daily Schedule'!$N$4:$N$15="Lemon syrup")*'Daily Schedule'!$O$4:$O$15)</f>
        <v/>
      </c>
      <c r="C11" s="139">
        <f>B11*(1+Assumptions!$B$5)</f>
        <v/>
      </c>
      <c r="D11" s="140">
        <f>CEILING(C11/Assumptions!$B$8,1)</f>
        <v/>
      </c>
      <c r="E11" s="97" t="inlineStr">
        <is>
          <t>Torani 750ml</t>
        </is>
      </c>
    </row>
    <row r="12" ht="15" customHeight="1" s="93">
      <c r="A12" s="127" t="inlineStr">
        <is>
          <t>TOTAL</t>
        </is>
      </c>
      <c r="B12" s="141">
        <f>SUM(B5:B11)</f>
        <v/>
      </c>
      <c r="C12" s="141">
        <f>SUM(C5:C11)</f>
        <v/>
      </c>
      <c r="D12" s="141">
        <f>SUM(D5:D11)</f>
        <v/>
      </c>
      <c r="E12" s="127" t="n"/>
    </row>
    <row r="13" ht="15" customHeight="1" s="93"/>
    <row r="14" ht="15" customHeight="1" s="93">
      <c r="A14" s="95" t="inlineStr">
        <is>
          <t>CREAM, DAIRY &amp; NON-CANNED BASES</t>
        </is>
      </c>
    </row>
    <row r="15" ht="15" customHeight="1" s="93">
      <c r="A15" s="96" t="inlineStr">
        <is>
          <t>Item</t>
        </is>
      </c>
      <c r="B15" s="96" t="inlineStr">
        <is>
          <t>Total oz</t>
        </is>
      </c>
      <c r="C15" s="96" t="inlineStr">
        <is>
          <t>+buffer</t>
        </is>
      </c>
      <c r="D15" s="96" t="inlineStr">
        <is>
          <t>Units</t>
        </is>
      </c>
      <c r="E15" s="96" t="inlineStr">
        <is>
          <t>Unit/note</t>
        </is>
      </c>
    </row>
    <row r="16" ht="15" customHeight="1" s="93">
      <c r="A16" s="97" t="inlineStr">
        <is>
          <t>Cream of coconut</t>
        </is>
      </c>
      <c r="B16" s="139">
        <f>SUMPRODUCT(Recipes!$K$3:$K$18*Recipes!$B$3:$B$18)+SUMPRODUCT(('Daily Schedule'!$F$4:$F$15="Coconut cream")*'Daily Schedule'!$G$4:$G$15)+SUMPRODUCT(('Daily Schedule'!$H$4:$H$15="Coconut cream")*'Daily Schedule'!$I$4:$I$15)+SUMPRODUCT(('Daily Schedule'!$J$4:$J$15="Coconut cream")*'Daily Schedule'!$K$4:$K$15)+SUMPRODUCT(('Daily Schedule'!$L$4:$L$15="Coconut cream")*'Daily Schedule'!$M$4:$M$15)+SUMPRODUCT(('Daily Schedule'!$N$4:$N$15="Coconut cream")*'Daily Schedule'!$O$4:$O$15)</f>
        <v/>
      </c>
      <c r="C16" s="139">
        <f>B16*(1+Assumptions!$B$5)</f>
        <v/>
      </c>
      <c r="D16" s="140">
        <f>CEILING(C16/Assumptions!$B$9,1)</f>
        <v/>
      </c>
      <c r="E16" s="97" t="inlineStr">
        <is>
          <t>22oz squeeze bottles (Amazon)</t>
        </is>
      </c>
    </row>
    <row r="17" ht="15" customHeight="1" s="93">
      <c r="A17" s="97" t="inlineStr">
        <is>
          <t>Passion fruit purée</t>
        </is>
      </c>
      <c r="B17" s="139">
        <f>SUMPRODUCT((Recipes!$F$3:$F$18=A17)*Recipes!$G$3:$G$18*Recipes!$B$3:$B$18)+SUMPRODUCT((Recipes!$H$3:$H$18=A17)*Recipes!$I$3:$I$18*Recipes!$B$3:$B$18)+SUMPRODUCT(('Daily Schedule'!$F$4:$F$15="Passion fruit purée")*'Daily Schedule'!$G$4:$G$15)+SUMPRODUCT(('Daily Schedule'!$H$4:$H$15="Passion fruit purée")*'Daily Schedule'!$I$4:$I$15)+SUMPRODUCT(('Daily Schedule'!$J$4:$J$15="Passion fruit purée")*'Daily Schedule'!$K$4:$K$15)+SUMPRODUCT(('Daily Schedule'!$L$4:$L$15="Passion fruit purée")*'Daily Schedule'!$M$4:$M$15)+SUMPRODUCT(('Daily Schedule'!$N$4:$N$15="Passion fruit purée")*'Daily Schedule'!$O$4:$O$15)+Recipes!$B$13*Assumptions!$B$118</f>
        <v/>
      </c>
      <c r="C17" s="139">
        <f>B17*(1+Assumptions!$B$5)</f>
        <v/>
      </c>
      <c r="D17" s="140">
        <f>CEILING(C17/Assumptions!$B$91,1)</f>
        <v/>
      </c>
      <c r="E17" s="97" t="inlineStr">
        <is>
          <t>22oz squeeze bottles (Amazon)</t>
        </is>
      </c>
    </row>
    <row r="18" ht="15" customHeight="1" s="93">
      <c r="A18" s="97" t="inlineStr">
        <is>
          <t>Pineapple purée</t>
        </is>
      </c>
      <c r="B18" s="139">
        <f>SUMPRODUCT((Recipes!$F$3:$F$18=A18)*Recipes!$G$3:$G$18*Recipes!$B$3:$B$18)+SUMPRODUCT((Recipes!$H$3:$H$18=A18)*Recipes!$I$3:$I$18*Recipes!$B$3:$B$18)+SUMPRODUCT(('Daily Schedule'!$F$4:$F$15="Pineapple purée")*'Daily Schedule'!$G$4:$G$15)+SUMPRODUCT(('Daily Schedule'!$H$4:$H$15="Pineapple purée")*'Daily Schedule'!$I$4:$I$15)+SUMPRODUCT(('Daily Schedule'!$J$4:$J$15="Pineapple purée")*'Daily Schedule'!$K$4:$K$15)+SUMPRODUCT(('Daily Schedule'!$L$4:$L$15="Pineapple purée")*'Daily Schedule'!$M$4:$M$15)+SUMPRODUCT(('Daily Schedule'!$N$4:$N$15="Pineapple purée")*'Daily Schedule'!$O$4:$O$15)</f>
        <v/>
      </c>
      <c r="C18" s="139">
        <f>B18*(1+Assumptions!$B$5)</f>
        <v/>
      </c>
      <c r="D18" s="140">
        <f>CEILING(C18/Assumptions!$B$91,1)</f>
        <v/>
      </c>
      <c r="E18" s="97" t="inlineStr">
        <is>
          <t>22oz squeeze bottles (Amazon)</t>
        </is>
      </c>
    </row>
    <row r="19" ht="15" customHeight="1" s="93">
      <c r="A19" s="97" t="inlineStr">
        <is>
          <t>Lemonade (base)</t>
        </is>
      </c>
      <c r="B19" s="139">
        <f>SUMPRODUCT((Recipes!$D$3:$D$18="Lemonade")*Recipes!$E$3:$E$18*Recipes!$B$3:$B$18)+SUMPRODUCT(('Daily Schedule'!$F$4:$F$15="Lemonade")*'Daily Schedule'!$G$4:$G$15)+SUMPRODUCT(('Daily Schedule'!$H$4:$H$15="Lemonade")*'Daily Schedule'!$I$4:$I$15)+SUMPRODUCT(('Daily Schedule'!$J$4:$J$15="Lemonade")*'Daily Schedule'!$K$4:$K$15)+SUMPRODUCT(('Daily Schedule'!$L$4:$L$15="Lemonade")*'Daily Schedule'!$M$4:$M$15)+SUMPRODUCT(('Daily Schedule'!$N$4:$N$15="Lemonade")*'Daily Schedule'!$O$4:$O$15)</f>
        <v/>
      </c>
      <c r="C19" s="139">
        <f>B19*(1+Assumptions!$B$5)</f>
        <v/>
      </c>
      <c r="D19" s="140">
        <f>CEILING(C19/128,1)</f>
        <v/>
      </c>
      <c r="E19" s="97" t="inlineStr">
        <is>
          <t>gallons</t>
        </is>
      </c>
    </row>
    <row r="20" ht="15" customHeight="1" s="93">
      <c r="A20" s="92" t="inlineStr">
        <is>
          <t>Soda water</t>
        </is>
      </c>
      <c r="B20" s="92">
        <f>SUMPRODUCT(Recipes!$J$3:$J$18*Recipes!$B$3:$B$18)+SUMPRODUCT(('Daily Schedule'!$F$4:$F$15="Soda water")*'Daily Schedule'!$G$4:$G$15)+SUMPRODUCT(('Daily Schedule'!$H$4:$H$15="Soda water")*'Daily Schedule'!$I$4:$I$15)+SUMPRODUCT(('Daily Schedule'!$J$4:$J$15="Soda water")*'Daily Schedule'!$K$4:$K$15)+SUMPRODUCT(('Daily Schedule'!$L$4:$L$15="Soda water")*'Daily Schedule'!$M$4:$M$15)+SUMPRODUCT(('Daily Schedule'!$N$4:$N$15="Soda water")*'Daily Schedule'!$O$4:$O$15)</f>
        <v/>
      </c>
      <c r="C20" s="92">
        <f>B20*(1+Assumptions!$B$5)</f>
        <v/>
      </c>
      <c r="D20" s="92">
        <f>CEILING(C20/Assumptions!$B$7,1)</f>
        <v/>
      </c>
      <c r="E20" s="92" t="inlineStr">
        <is>
          <t>12 oz cans</t>
        </is>
      </c>
    </row>
    <row r="21" ht="15.75" customHeight="1" s="93">
      <c r="A21" s="129" t="inlineStr">
        <is>
          <t>Tangerine juice</t>
        </is>
      </c>
      <c r="B21" s="92">
        <f>SUMPRODUCT((Recipes!$F$3:$F$18="Tangerine juice")*Recipes!$G$3:$G$18*Recipes!$B$3:$B$18)+SUMPRODUCT((Recipes!$H$3:$H$18="Tangerine juice")*Recipes!$I$3:$I$18*Recipes!$B$3:$B$18)</f>
        <v/>
      </c>
      <c r="C21" s="92">
        <f>B21*(1+Assumptions!$B$5)</f>
        <v/>
      </c>
      <c r="D21" s="92">
        <f>CEILING(C21/Assumptions!$B$89,1)</f>
        <v/>
      </c>
      <c r="E21" s="92" t="inlineStr">
        <is>
          <t>52oz bottles</t>
        </is>
      </c>
    </row>
    <row r="22" ht="15.75" customHeight="1" s="93">
      <c r="A22" s="92" t="inlineStr">
        <is>
          <t>Garnish/misc: fresh mint &amp; basil, limes, pickle juice + Tajín, cinnamon (horchata), ice, cups, straws. Keg add-ons priced on Kegs tab.</t>
        </is>
      </c>
    </row>
    <row r="23" ht="15.75" customHeight="1" s="93"/>
    <row r="24" ht="15.75" customHeight="1" s="93">
      <c r="A24" s="95" t="inlineStr">
        <is>
          <t>LIQUOR (OPTIONAL ADD-ON)</t>
        </is>
      </c>
    </row>
    <row r="25" ht="15.75" customHeight="1" s="93">
      <c r="A25" s="96" t="inlineStr">
        <is>
          <t>Liquor</t>
        </is>
      </c>
      <c r="B25" s="96" t="inlineStr">
        <is>
          <t>Total oz</t>
        </is>
      </c>
      <c r="C25" s="96" t="inlineStr">
        <is>
          <t>+buffer</t>
        </is>
      </c>
      <c r="D25" s="96" t="inlineStr">
        <is>
          <t>Bottles</t>
        </is>
      </c>
      <c r="E25" s="96" t="inlineStr">
        <is>
          <t>$/bottle</t>
        </is>
      </c>
      <c r="F25" s="96" t="inlineStr">
        <is>
          <t>Subtotal</t>
        </is>
      </c>
      <c r="G25" s="96" t="inlineStr">
        <is>
          <t>Note</t>
        </is>
      </c>
    </row>
    <row r="26" ht="15.75" customHeight="1" s="93">
      <c r="A26" s="97" t="inlineStr">
        <is>
          <t>Vodka</t>
        </is>
      </c>
      <c r="B26" s="139">
        <f>SUMPRODUCT((Recipes!$M$3:$M$18=A26)*Recipes!$N$3:$N$18)+SUMPRODUCT(('Daily Schedule'!$P$4:$P$15=A26)*'Daily Schedule'!$R$4:$R$15)</f>
        <v/>
      </c>
      <c r="C26" s="139">
        <f>B26*(1+Assumptions!$B$5)</f>
        <v/>
      </c>
      <c r="D26" s="140">
        <f>CEILING(C26/Assumptions!$B$41,1)</f>
        <v/>
      </c>
      <c r="E26" s="133">
        <f>Assumptions!$B$42</f>
        <v/>
      </c>
      <c r="F26" s="133">
        <f>D26*E26</f>
        <v/>
      </c>
      <c r="G26" s="97" t="inlineStr">
        <is>
          <t>Consider peach/vanilla flavored vodka for Peaches &amp; Creamed / Orange Cream-sicle.</t>
        </is>
      </c>
    </row>
    <row r="27" ht="15.75" customHeight="1" s="93">
      <c r="A27" s="97" t="inlineStr">
        <is>
          <t>Coconut Rum</t>
        </is>
      </c>
      <c r="B27" s="139">
        <f>SUMPRODUCT((Recipes!$M$3:$M$18=A27)*Recipes!$N$3:$N$18)+SUMPRODUCT(('Daily Schedule'!$P$4:$P$15=A27)*'Daily Schedule'!$R$4:$R$15)</f>
        <v/>
      </c>
      <c r="C27" s="139">
        <f>B27*(1+Assumptions!$B$5)</f>
        <v/>
      </c>
      <c r="D27" s="140">
        <f>CEILING(C27/Assumptions!$B$41,1)</f>
        <v/>
      </c>
      <c r="E27" s="133">
        <f>Assumptions!$B$43</f>
        <v/>
      </c>
      <c r="F27" s="133">
        <f>D27*E27</f>
        <v/>
      </c>
      <c r="G27" s="97" t="n"/>
    </row>
    <row r="28" ht="15.75" customHeight="1" s="93">
      <c r="A28" s="97" t="inlineStr">
        <is>
          <t>Bourbon</t>
        </is>
      </c>
      <c r="B28" s="139">
        <f>SUMPRODUCT((Recipes!$M$3:$M$18=A28)*Recipes!$N$3:$N$18)+SUMPRODUCT(('Daily Schedule'!$P$4:$P$15=A28)*'Daily Schedule'!$R$4:$R$15)</f>
        <v/>
      </c>
      <c r="C28" s="139">
        <f>B28*(1+Assumptions!$B$5)</f>
        <v/>
      </c>
      <c r="D28" s="140">
        <f>CEILING(C28/Assumptions!$B$41,1)</f>
        <v/>
      </c>
      <c r="E28" s="133">
        <f>Assumptions!$B$44</f>
        <v/>
      </c>
      <c r="F28" s="133">
        <f>D28*E28</f>
        <v/>
      </c>
      <c r="G28" s="97" t="n"/>
    </row>
    <row r="29" ht="15.75" customHeight="1" s="93">
      <c r="A29" s="97" t="inlineStr">
        <is>
          <t>Blanco Tequila</t>
        </is>
      </c>
      <c r="B29" s="139">
        <f>SUMPRODUCT((Recipes!$M$3:$M$18=A29)*Recipes!$N$3:$N$18)+SUMPRODUCT(('Daily Schedule'!$P$4:$P$15=A29)*'Daily Schedule'!$R$4:$R$15)</f>
        <v/>
      </c>
      <c r="C29" s="139">
        <f>B29*(1+Assumptions!$B$5)</f>
        <v/>
      </c>
      <c r="D29" s="140">
        <f>CEILING(C29/Assumptions!$B$41,1)</f>
        <v/>
      </c>
      <c r="E29" s="133">
        <f>Assumptions!$B$45</f>
        <v/>
      </c>
      <c r="F29" s="133">
        <f>D29*E29</f>
        <v/>
      </c>
      <c r="G29" s="97" t="n"/>
    </row>
    <row r="30" ht="15.75" customHeight="1" s="93">
      <c r="A30" s="97" t="inlineStr">
        <is>
          <t>Spiced Rum</t>
        </is>
      </c>
      <c r="B30" s="139">
        <f>SUMPRODUCT((Recipes!$M$3:$M$18=A30)*Recipes!$N$3:$N$18)+SUMPRODUCT(('Daily Schedule'!$P$4:$P$15=A30)*'Daily Schedule'!$R$4:$R$15)</f>
        <v/>
      </c>
      <c r="C30" s="139">
        <f>B30*(1+Assumptions!$B$5)</f>
        <v/>
      </c>
      <c r="D30" s="140">
        <f>CEILING(C30/Assumptions!$B$41,1)</f>
        <v/>
      </c>
      <c r="E30" s="133">
        <f>Assumptions!$B$46</f>
        <v/>
      </c>
      <c r="F30" s="133">
        <f>D30*E30</f>
        <v/>
      </c>
      <c r="G30" s="97" t="n"/>
    </row>
    <row r="31" ht="15.75" customHeight="1" s="93">
      <c r="A31" s="97" t="inlineStr">
        <is>
          <t>Whiskey</t>
        </is>
      </c>
      <c r="B31" s="139">
        <f>SUMPRODUCT((Recipes!$M$3:$M$18=A31)*Recipes!$N$3:$N$18)+SUMPRODUCT(('Daily Schedule'!$P$4:$P$15=A31)*'Daily Schedule'!$R$4:$R$15)</f>
        <v/>
      </c>
      <c r="C31" s="139">
        <f>B31*(1+Assumptions!$B$5)</f>
        <v/>
      </c>
      <c r="D31" s="140">
        <f>CEILING(C31/Assumptions!$B$41,1)</f>
        <v/>
      </c>
      <c r="E31" s="133">
        <f>Assumptions!$B$47</f>
        <v/>
      </c>
      <c r="F31" s="133">
        <f>D31*E31</f>
        <v/>
      </c>
      <c r="G31" s="97" t="inlineStr">
        <is>
          <t>Consider 1 pickle whiskey (e.g. Ole Smoky) for A Ginger's Pickle as a novelty side option.</t>
        </is>
      </c>
    </row>
    <row r="32" ht="15.75" customHeight="1" s="93">
      <c r="A32" s="127" t="inlineStr">
        <is>
          <t>TOTAL</t>
        </is>
      </c>
      <c r="B32" s="141">
        <f>SUM(B26:B31)</f>
        <v/>
      </c>
      <c r="C32" s="141">
        <f>SUM(C26:C31)</f>
        <v/>
      </c>
      <c r="D32" s="141">
        <f>SUM(D26:D31)</f>
        <v/>
      </c>
      <c r="E32" s="127" t="n"/>
      <c r="F32" s="141">
        <f>SUM(F26:F31)</f>
        <v/>
      </c>
      <c r="G32" s="127" t="n"/>
    </row>
    <row r="33" ht="15.75" customHeight="1" s="93"/>
    <row r="34" ht="15.75" customHeight="1" s="93">
      <c r="A34" s="102" t="inlineStr">
        <is>
          <t>BUILT-DRINK &amp; FRESH-PRODUCE EXTRAS (itemized)</t>
        </is>
      </c>
    </row>
    <row r="35" ht="15.75" customHeight="1" s="93">
      <c r="A35" s="142" t="inlineStr">
        <is>
          <t>Item</t>
        </is>
      </c>
      <c r="B35" s="142" t="inlineStr">
        <is>
          <t>Total oz</t>
        </is>
      </c>
      <c r="C35" s="142" t="inlineStr">
        <is>
          <t>+buffer</t>
        </is>
      </c>
      <c r="D35" s="142" t="inlineStr">
        <is>
          <t>Units</t>
        </is>
      </c>
      <c r="E35" s="142" t="inlineStr">
        <is>
          <t>Unit/note</t>
        </is>
      </c>
    </row>
    <row r="36" ht="15.75" customHeight="1" s="93">
      <c r="A36" s="108" t="inlineStr">
        <is>
          <t>Ginger beer</t>
        </is>
      </c>
      <c r="B36" s="143">
        <f>(SUMPRODUCT((Recipes!$F$3:$F$18="Ginger beer")*Recipes!$G$3:$G$18*Recipes!$B$3:$B$18)+SUMPRODUCT((Recipes!$H$3:$H$18="Ginger beer")*Recipes!$I$3:$I$18*Recipes!$B$3:$B$18))</f>
        <v/>
      </c>
      <c r="C36" s="143">
        <f>B36*(1+Assumptions!$B$5)</f>
        <v/>
      </c>
      <c r="D36" s="144">
        <f>CEILING(C36/Assumptions!$B$96,1)</f>
        <v/>
      </c>
      <c r="E36" s="108" t="inlineStr">
        <is>
          <t>12oz cans</t>
        </is>
      </c>
    </row>
    <row r="37" ht="15.75" customHeight="1" s="93">
      <c r="A37" s="108" t="inlineStr">
        <is>
          <t>Lemon juice (fresh)</t>
        </is>
      </c>
      <c r="B37" s="143">
        <f>(SUMPRODUCT((Recipes!$F$3:$F$18="Lemon juice (fresh)")*Recipes!$G$3:$G$18*Recipes!$B$3:$B$18)+SUMPRODUCT((Recipes!$H$3:$H$18="Lemon juice (fresh)")*Recipes!$I$3:$I$18*Recipes!$B$3:$B$18))</f>
        <v/>
      </c>
      <c r="C37" s="143">
        <f>B37*(1+Assumptions!$B$5)</f>
        <v/>
      </c>
      <c r="D37" s="144">
        <f>CEILING(C37/Assumptions!$B$99,1)</f>
        <v/>
      </c>
      <c r="E37" s="108" t="inlineStr">
        <is>
          <t>whole lemons (~1.5oz juice each)</t>
        </is>
      </c>
    </row>
    <row r="38" ht="15.75" customHeight="1" s="93">
      <c r="A38" s="108" t="inlineStr">
        <is>
          <t>Simple syrup (sugar) — RETIRED, agave now (row 46)</t>
        </is>
      </c>
      <c r="B38" s="143">
        <f>Recipes!$B$11*Assumptions!$B$98</f>
        <v/>
      </c>
      <c r="C38" s="143">
        <f>B38*(1+Assumptions!$B$5)</f>
        <v/>
      </c>
      <c r="D38" s="144">
        <f>CEILING(C38/Assumptions!$B$56,1)</f>
        <v/>
      </c>
      <c r="E38" s="108" t="inlineStr">
        <is>
          <t>Computes 0 while Assumptions B98 is zeroed</t>
        </is>
      </c>
    </row>
    <row r="39" ht="15.75" customHeight="1" s="93">
      <c r="A39" s="108" t="inlineStr">
        <is>
          <t>Clamato</t>
        </is>
      </c>
      <c r="B39" s="143">
        <f>(SUMPRODUCT((Recipes!$F$3:$F$18="Clamato")*Recipes!$G$3:$G$18*Recipes!$B$3:$B$18)+SUMPRODUCT((Recipes!$H$3:$H$18="Clamato")*Recipes!$I$3:$I$18*Recipes!$B$3:$B$18))</f>
        <v/>
      </c>
      <c r="C39" s="143">
        <f>B39*(1+Assumptions!$B$5)</f>
        <v/>
      </c>
      <c r="D39" s="144">
        <f>CEILING(C39/Assumptions!$B$103,1)</f>
        <v/>
      </c>
      <c r="E39" s="108" t="inlineStr">
        <is>
          <t>64oz bottles</t>
        </is>
      </c>
    </row>
    <row r="40" ht="15.75" customHeight="1" s="93">
      <c r="A40" s="108" t="inlineStr">
        <is>
          <t>Lime juice (fresh)</t>
        </is>
      </c>
      <c r="B40" s="143">
        <f>Recipes!$B$4*Recipes!$I$4+Recipes!$B$3*Assumptions!$B$113</f>
        <v/>
      </c>
      <c r="C40" s="143">
        <f>B40*(1+Assumptions!$B$5)</f>
        <v/>
      </c>
      <c r="D40" s="144">
        <f>CEILING(C40/Assumptions!$B$111,1)</f>
        <v/>
      </c>
      <c r="E40" s="108" t="inlineStr">
        <is>
          <t>whole limes (~1oz juice each) — Michelada + Tang Dynasty only</t>
        </is>
      </c>
    </row>
    <row r="41" ht="15.75" customHeight="1" s="93">
      <c r="A41" s="108" t="inlineStr">
        <is>
          <t>Hot sauce</t>
        </is>
      </c>
      <c r="B41" s="143">
        <f>Recipes!$B$4*Assumptions!$B$105</f>
        <v/>
      </c>
      <c r="C41" s="143">
        <f>B41*(1+Assumptions!$B$5)</f>
        <v/>
      </c>
      <c r="D41" s="144">
        <f>CEILING(C41/Assumptions!$B$106,1)</f>
        <v/>
      </c>
      <c r="E41" s="108" t="inlineStr">
        <is>
          <t>12oz bottles</t>
        </is>
      </c>
    </row>
    <row r="42" ht="15.75" customHeight="1" s="93">
      <c r="A42" s="108" t="inlineStr">
        <is>
          <t>Tajin (rim salt)</t>
        </is>
      </c>
      <c r="B42" s="143">
        <f>(Recipes!$B$4+Recipes!$B$8+Recipes!$B$16+Recipes!$B$17)*Assumptions!$B$108</f>
        <v/>
      </c>
      <c r="C42" s="143">
        <f>B42*(1+Assumptions!$B$5)</f>
        <v/>
      </c>
      <c r="D42" s="144">
        <f>CEILING(C42/Assumptions!$B$109,1)</f>
        <v/>
      </c>
      <c r="E42" s="108" t="inlineStr">
        <is>
          <t>5oz shakers — Michelada, A Ginger's Pickle and Catboy Piss rims</t>
        </is>
      </c>
    </row>
    <row r="43" ht="15.75" customHeight="1" s="93">
      <c r="A43" s="108" t="inlineStr">
        <is>
          <t>Orange juice (Catboy Café build)</t>
        </is>
      </c>
      <c r="B43" s="143">
        <f>(SUMPRODUCT((Recipes!$F$3:$F$18="Orange juice")*Recipes!$G$3:$G$18*Recipes!$B$3:$B$18)+SUMPRODUCT((Recipes!$H$3:$H$18="Orange juice")*Recipes!$I$3:$I$18*Recipes!$B$3:$B$18))</f>
        <v/>
      </c>
      <c r="C43" s="143">
        <f>B43*(1+Assumptions!$B$5)</f>
        <v/>
      </c>
      <c r="D43" s="144">
        <f>CEILING(C43/Assumptions!$B$69,1)</f>
        <v/>
      </c>
      <c r="E43" s="108" t="inlineStr">
        <is>
          <t>64oz cartons — separate from the Thursday jug's OJ so the cost lands on the right line</t>
        </is>
      </c>
    </row>
    <row r="44" ht="15.75" customHeight="1" s="93">
      <c r="A44" s="108" t="inlineStr">
        <is>
          <t>Cucumber (Thirst Trap)</t>
        </is>
      </c>
      <c r="B44" s="143">
        <f>Recipes!$B$12*Recipes!$G$12</f>
        <v/>
      </c>
      <c r="C44" s="143">
        <f>B44*(1+Assumptions!$B$5)</f>
        <v/>
      </c>
      <c r="D44" s="144">
        <f>CEILING(C44/Assumptions!$B$122,1)</f>
        <v/>
      </c>
      <c r="E44" s="108" t="inlineStr">
        <is>
          <t>whole cucumbers (~10oz each, ~2-3 slices per drink)</t>
        </is>
      </c>
    </row>
    <row r="45" ht="15.75" customHeight="1" s="93">
      <c r="A45" s="108" t="inlineStr">
        <is>
          <t>Lime juice (fresh) — Thirst Trap + Catboy Snot + Catboy Piss + Shirley variants</t>
        </is>
      </c>
      <c r="B45" s="143">
        <f>Recipes!$B$12*Recipes!$I$12+Recipes!$B$15*Recipes!$I$15+Recipes!$B$16*Recipes!$I$16+Recipes!$B$17*Recipes!$I$17+Recipes!$B$18*Assumptions!$B$154</f>
        <v/>
      </c>
      <c r="C45" s="143">
        <f>B45*(1+Assumptions!$B$5)</f>
        <v/>
      </c>
      <c r="D45" s="144">
        <f>CEILING(C45/Assumptions!$B$111,1)</f>
        <v/>
      </c>
      <c r="E45" s="108" t="inlineStr">
        <is>
          <t>whole limes (~1oz juice each) — canned-base drinks</t>
        </is>
      </c>
    </row>
    <row r="46" ht="15.75" customHeight="1" s="93">
      <c r="A46" s="108" t="inlineStr">
        <is>
          <t>Apple cider vinegar (SCOBY-Dew)</t>
        </is>
      </c>
      <c r="B46" s="143">
        <f>Recipes!$B$11*Assumptions!$B$128</f>
        <v/>
      </c>
      <c r="C46" s="143">
        <f>B46*(1+Assumptions!$B$5)</f>
        <v/>
      </c>
      <c r="D46" s="144">
        <f>CEILING(C46/Assumptions!$B$129,1)</f>
        <v/>
      </c>
      <c r="E46" s="108" t="inlineStr">
        <is>
          <t>32oz bottles</t>
        </is>
      </c>
    </row>
    <row r="47" ht="15.75" customHeight="1" s="93">
      <c r="A47" s="108" t="inlineStr">
        <is>
          <t>Agave syrup (SCOBY-Dew)</t>
        </is>
      </c>
      <c r="B47" s="143">
        <f>Recipes!$B$11*Assumptions!$B$131</f>
        <v/>
      </c>
      <c r="C47" s="143">
        <f>B47*(1+Assumptions!$B$5)</f>
        <v/>
      </c>
      <c r="D47" s="144">
        <f>CEILING(C47/Assumptions!$B$132,1)</f>
        <v/>
      </c>
      <c r="E47" s="108" t="inlineStr">
        <is>
          <t>23.5oz bottles</t>
        </is>
      </c>
    </row>
    <row r="48" ht="15.75" customHeight="1" s="93">
      <c r="A48" s="108" t="inlineStr">
        <is>
          <t>Aloe vera juice (Catboy Snot)</t>
        </is>
      </c>
      <c r="B48" s="143">
        <f>Recipes!$B$15*Assumptions!$B$147</f>
        <v/>
      </c>
      <c r="C48" s="143">
        <f>B48*(1+Assumptions!$B$5)</f>
        <v/>
      </c>
      <c r="D48" s="144">
        <f>CEILING(C48/Assumptions!$B$148,1)</f>
        <v/>
      </c>
      <c r="E48" s="108" t="inlineStr">
        <is>
          <t>1.5 L (50.7oz) bottles — DRINKING aloe with pulp, not supplement/whole-leaf</t>
        </is>
      </c>
    </row>
    <row r="49" ht="15.75" customHeight="1" s="93">
      <c r="A49" s="108" t="inlineStr">
        <is>
          <t>Basil seeds (Catboy Snot) — OPTIONAL</t>
        </is>
      </c>
      <c r="B49" s="143">
        <f>Recipes!$B$15*Assumptions!$B$150</f>
        <v/>
      </c>
      <c r="C49" s="143">
        <f>B49*(1+Assumptions!$B$5)</f>
        <v/>
      </c>
      <c r="D49" s="144">
        <f>CEILING(C49/Assumptions!$B$151,1)</f>
        <v/>
      </c>
      <c r="E49" s="108" t="inlineStr">
        <is>
          <t>100g (3.5oz) bags — OPTIONAL texture garnish; drink works without them</t>
        </is>
      </c>
    </row>
    <row r="50" ht="15.75" customHeight="1" s="93"/>
    <row r="51" ht="15.75" customHeight="1" s="93"/>
    <row r="52" ht="15.75" customHeight="1" s="93"/>
    <row r="53" ht="15.75" customHeight="1" s="93"/>
    <row r="54" ht="15.75" customHeight="1" s="93"/>
    <row r="55" ht="15.75" customHeight="1" s="93"/>
    <row r="56" ht="15.75" customHeight="1" s="93"/>
    <row r="57" ht="15.75" customHeight="1" s="93"/>
    <row r="58" ht="15.75" customHeight="1" s="93"/>
    <row r="59" ht="15.75" customHeight="1" s="93"/>
    <row r="60" ht="15.75" customHeight="1" s="93"/>
    <row r="61" ht="15.75" customHeight="1" s="93"/>
    <row r="62" ht="15.75" customHeight="1" s="93"/>
    <row r="63" ht="15.75" customHeight="1" s="93"/>
    <row r="64" ht="15.75" customHeight="1" s="93"/>
    <row r="65" ht="15.75" customHeight="1" s="93"/>
    <row r="66" ht="15.75" customHeight="1" s="93"/>
    <row r="67" ht="15.75" customHeight="1" s="93"/>
    <row r="68" ht="15.75" customHeight="1" s="93"/>
    <row r="69" ht="15.75" customHeight="1" s="93"/>
    <row r="70" ht="15.75" customHeight="1" s="93"/>
    <row r="71" ht="15.75" customHeight="1" s="93"/>
    <row r="72" ht="15.75" customHeight="1" s="93"/>
    <row r="73" ht="15.75" customHeight="1" s="93"/>
    <row r="74" ht="15.75" customHeight="1" s="93"/>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999" ht="15.75" customHeight="1" s="93"/>
    <row r="1000" ht="15.75" customHeight="1" s="93"/>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74"/>
  <sheetViews>
    <sheetView showFormulas="0" showGridLines="1" showRowColHeaders="1" showZeros="1" rightToLeft="0" tabSelected="0" showOutlineSymbols="1" defaultGridColor="1" view="normal" topLeftCell="A15" colorId="64" zoomScale="100" zoomScaleNormal="100" zoomScalePageLayoutView="100" workbookViewId="0">
      <selection pane="topLeft" activeCell="C37" activeCellId="0" sqref="C37"/>
    </sheetView>
  </sheetViews>
  <sheetFormatPr baseColWidth="8" defaultColWidth="14.4296875" defaultRowHeight="15" zeroHeight="0" outlineLevelRow="0"/>
  <cols>
    <col width="4" customWidth="1" style="92" min="1" max="1"/>
    <col width="42" customWidth="1" style="92" min="2" max="2"/>
    <col width="13" customWidth="1" style="92" min="3" max="3"/>
    <col width="8" customWidth="1" style="92" min="4" max="4"/>
    <col width="11" customWidth="1" style="92" min="5" max="5"/>
    <col width="9" customWidth="1" style="92" min="6" max="6"/>
    <col width="30" customWidth="1" style="92" min="7" max="7"/>
    <col width="8.710000000000001" customWidth="1" style="92" min="8" max="26"/>
  </cols>
  <sheetData>
    <row r="1" ht="25.5" customHeight="1" s="93">
      <c r="A1" s="94" t="inlineStr">
        <is>
          <t>Purchase List — Burning Man 2026 Dirty Soda Bar</t>
        </is>
      </c>
    </row>
    <row r="3" ht="15" customHeight="1" s="93">
      <c r="A3" s="145" t="inlineStr">
        <is>
          <t>Quantities pull live from the model. Fill Source/Location, then check off as you buy.</t>
        </is>
      </c>
    </row>
    <row r="4" ht="15" customHeight="1" s="93">
      <c r="A4" s="96" t="inlineStr">
        <is>
          <t>✓</t>
        </is>
      </c>
      <c r="B4" s="96" t="inlineStr">
        <is>
          <t>Item</t>
        </is>
      </c>
      <c r="C4" s="96" t="inlineStr">
        <is>
          <t>Category</t>
        </is>
      </c>
      <c r="D4" s="96" t="inlineStr">
        <is>
          <t>Qty</t>
        </is>
      </c>
      <c r="E4" s="96" t="inlineStr">
        <is>
          <t>Unit</t>
        </is>
      </c>
      <c r="F4" s="96" t="inlineStr">
        <is>
          <t>Est. $</t>
        </is>
      </c>
      <c r="G4" s="96" t="inlineStr">
        <is>
          <t>Source / Location</t>
        </is>
      </c>
    </row>
    <row r="5" ht="23.25" customHeight="1" s="93">
      <c r="A5" s="146" t="inlineStr">
        <is>
          <t>☐</t>
        </is>
      </c>
      <c r="B5" s="99" t="inlineStr">
        <is>
          <t>Canned base soda (Sprite/Coke/Fanta/Dr Pepper/Ginger ale/Squirt/Mtn Dew)</t>
        </is>
      </c>
      <c r="C5" s="146" t="inlineStr">
        <is>
          <t>Soda</t>
        </is>
      </c>
      <c r="D5" s="139">
        <f>'Base Soda — Cans'!E4+'Base Soda — Cans'!E5+'Base Soda — Cans'!E6+'Base Soda — Cans'!E8+'Base Soda — Cans'!E9+'Base Soda — Cans'!E10+'Base Soda — Cans'!E12</f>
        <v/>
      </c>
      <c r="E5" s="146" t="inlineStr">
        <is>
          <t>cases</t>
        </is>
      </c>
      <c r="F5" s="133">
        <f>D5*Assumptions!$B$16</f>
        <v/>
      </c>
      <c r="G5" s="147" t="inlineStr">
        <is>
          <t>BevMo/ Costco</t>
        </is>
      </c>
    </row>
    <row r="6" ht="15" customHeight="1" s="93">
      <c r="A6" s="146" t="inlineStr">
        <is>
          <t>☐</t>
        </is>
      </c>
      <c r="B6" s="99" t="inlineStr">
        <is>
          <t>Lemonade (from concentrate)</t>
        </is>
      </c>
      <c r="C6" s="146" t="inlineStr">
        <is>
          <t>Soda</t>
        </is>
      </c>
      <c r="D6" s="139">
        <f>'Other Consumables'!D19</f>
        <v/>
      </c>
      <c r="E6" s="146" t="inlineStr">
        <is>
          <t>gallons</t>
        </is>
      </c>
      <c r="F6" s="133">
        <f>D6*Assumptions!$B$17</f>
        <v/>
      </c>
      <c r="G6" s="147" t="inlineStr">
        <is>
          <t>Amazon / CostCo</t>
        </is>
      </c>
      <c r="H6" s="92" t="inlineStr">
        <is>
          <t>Mixed from concentrate in TWO sessions, not daily: ~2 gal on arrival (Watermelon Sugar High + Tue Smoke Test), ~1 gal Saturday morning (Blue Screen of Death). Held in the two 1-gallon containers on Supplies row 24. Water margin confirmed fine; switch formats at Assumptions B17.</t>
        </is>
      </c>
    </row>
    <row r="7" ht="15" customHeight="1" s="93">
      <c r="A7" s="146" t="inlineStr">
        <is>
          <t>☐</t>
        </is>
      </c>
      <c r="B7" s="99" t="inlineStr">
        <is>
          <t>Horchata mix / rice-milk base</t>
        </is>
      </c>
      <c r="C7" s="146" t="inlineStr">
        <is>
          <t>Soda</t>
        </is>
      </c>
      <c r="D7" s="139">
        <f>'Base Soda — Cans'!E11</f>
        <v/>
      </c>
      <c r="E7" s="146" t="inlineStr">
        <is>
          <t>case-equiv</t>
        </is>
      </c>
      <c r="F7" s="133">
        <f>D7*Assumptions!$B$18</f>
        <v/>
      </c>
      <c r="G7" s="147" t="inlineStr">
        <is>
          <t>Latino Grocery</t>
        </is>
      </c>
    </row>
    <row r="8" ht="15" customHeight="1" s="93">
      <c r="A8" s="146" t="inlineStr">
        <is>
          <t>☐</t>
        </is>
      </c>
      <c r="B8" s="99" t="inlineStr">
        <is>
          <t>Soda water</t>
        </is>
      </c>
      <c r="C8" s="146" t="inlineStr">
        <is>
          <t>Soda</t>
        </is>
      </c>
      <c r="D8" s="139">
        <f>CEILING('Other Consumables'!D20/Assumptions!$B$6,1)</f>
        <v/>
      </c>
      <c r="E8" s="146" t="inlineStr">
        <is>
          <t>cases</t>
        </is>
      </c>
      <c r="F8" s="133">
        <f>D8*Assumptions!$B$22</f>
        <v/>
      </c>
      <c r="G8" s="147" t="inlineStr">
        <is>
          <t>BevMo/ Costco</t>
        </is>
      </c>
    </row>
    <row r="9" ht="15" customHeight="1" s="93">
      <c r="A9" s="146" t="inlineStr">
        <is>
          <t>☐</t>
        </is>
      </c>
      <c r="B9" s="99" t="inlineStr">
        <is>
          <t>Torani syrups (all flavors)</t>
        </is>
      </c>
      <c r="C9" s="146" t="inlineStr">
        <is>
          <t>Syrup</t>
        </is>
      </c>
      <c r="D9" s="139">
        <f>'Other Consumables'!$D$12</f>
        <v/>
      </c>
      <c r="E9" s="146" t="inlineStr">
        <is>
          <t>bottles</t>
        </is>
      </c>
      <c r="F9" s="133">
        <f>D9*Assumptions!$B$19</f>
        <v/>
      </c>
      <c r="G9" s="147" t="inlineStr">
        <is>
          <t>Restaurant Supply / Amazon</t>
        </is>
      </c>
      <c r="H9" s="92" t="inlineStr">
        <is>
          <t>Now includes the melon syrup for Catboy Snot (Other Consumables row 10)</t>
        </is>
      </c>
    </row>
    <row r="10" ht="15" customHeight="1" s="93">
      <c r="A10" s="146" t="inlineStr">
        <is>
          <t>☐</t>
        </is>
      </c>
      <c r="B10" s="99" t="inlineStr">
        <is>
          <t>Cream of coconut (22oz squeeze bottles)</t>
        </is>
      </c>
      <c r="C10" s="146" t="inlineStr">
        <is>
          <t>Dairy/cream</t>
        </is>
      </c>
      <c r="D10" s="139">
        <f>'Other Consumables'!D16</f>
        <v/>
      </c>
      <c r="E10" s="146" t="inlineStr">
        <is>
          <t>bottles</t>
        </is>
      </c>
      <c r="F10" s="133">
        <f>D10*Assumptions!$B$20</f>
        <v/>
      </c>
      <c r="G10" s="147" t="inlineStr">
        <is>
          <t>Amazon</t>
        </is>
      </c>
    </row>
    <row r="11" ht="15" customHeight="1" s="93">
      <c r="A11" s="146" t="inlineStr">
        <is>
          <t>☐</t>
        </is>
      </c>
      <c r="B11" s="99" t="inlineStr">
        <is>
          <t>Passion fruit purée (22oz squeeze)</t>
        </is>
      </c>
      <c r="C11" s="146" t="inlineStr">
        <is>
          <t>Syrup</t>
        </is>
      </c>
      <c r="D11" s="139">
        <f>'Other Consumables'!D17</f>
        <v/>
      </c>
      <c r="E11" s="146" t="inlineStr">
        <is>
          <t>bottles</t>
        </is>
      </c>
      <c r="F11" s="133">
        <f>D11*Assumptions!$B$92</f>
        <v/>
      </c>
      <c r="G11" s="147" t="inlineStr">
        <is>
          <t>Amazon</t>
        </is>
      </c>
      <c r="H11" s="92" t="inlineStr">
        <is>
          <t>Tang Dynasty + Malibu Sunrise + Catboy green tea</t>
        </is>
      </c>
    </row>
    <row r="12" ht="15" customHeight="1" s="93">
      <c r="A12" s="146" t="inlineStr">
        <is>
          <t>☐</t>
        </is>
      </c>
      <c r="B12" s="99" t="inlineStr">
        <is>
          <t>Kombucha keg (passionfruit)</t>
        </is>
      </c>
      <c r="C12" s="146" t="inlineStr">
        <is>
          <t>Keg</t>
        </is>
      </c>
      <c r="D12" s="139">
        <f>Kegs!B7</f>
        <v/>
      </c>
      <c r="E12" s="146" t="inlineStr">
        <is>
          <t>kegs</t>
        </is>
      </c>
      <c r="F12" s="133">
        <f>D12*Assumptions!$B$25</f>
        <v/>
      </c>
      <c r="G12" s="147" t="inlineStr">
        <is>
          <t>Mike's Liquours</t>
        </is>
      </c>
    </row>
    <row r="13" ht="15" customHeight="1" s="93">
      <c r="A13" s="146" t="inlineStr">
        <is>
          <t>☐</t>
        </is>
      </c>
      <c r="B13" s="99" t="inlineStr">
        <is>
          <t>Ancho Paloma Sour Ale keg</t>
        </is>
      </c>
      <c r="C13" s="146" t="inlineStr">
        <is>
          <t>Keg</t>
        </is>
      </c>
      <c r="D13" s="139">
        <f>Kegs!B8</f>
        <v/>
      </c>
      <c r="E13" s="146" t="inlineStr">
        <is>
          <t>kegs</t>
        </is>
      </c>
      <c r="F13" s="133">
        <f>D13*Assumptions!$B$58</f>
        <v/>
      </c>
      <c r="G13" s="147" t="inlineStr">
        <is>
          <t>Lead Dog Brewing (Reno)</t>
        </is>
      </c>
    </row>
    <row r="14" ht="15" customHeight="1" s="93">
      <c r="A14" s="146" t="inlineStr">
        <is>
          <t>☐</t>
        </is>
      </c>
      <c r="B14" s="99" t="inlineStr">
        <is>
          <t>Green tea keg</t>
        </is>
      </c>
      <c r="C14" s="146" t="inlineStr">
        <is>
          <t>Keg</t>
        </is>
      </c>
      <c r="D14" s="139">
        <f>Kegs!B9</f>
        <v/>
      </c>
      <c r="E14" s="146" t="inlineStr">
        <is>
          <t>kegs</t>
        </is>
      </c>
      <c r="F14" s="133">
        <f>D14*Assumptions!$B$27</f>
        <v/>
      </c>
      <c r="G14" s="147" t="inlineStr">
        <is>
          <t>Mike's Liquours</t>
        </is>
      </c>
    </row>
    <row r="15" ht="15" customHeight="1" s="93">
      <c r="A15" s="146" t="inlineStr">
        <is>
          <t>☐</t>
        </is>
      </c>
      <c r="B15" s="99" t="inlineStr">
        <is>
          <t>Aloe vera drinks (Green Tea Refresher)</t>
        </is>
      </c>
      <c r="C15" s="146" t="inlineStr">
        <is>
          <t>Keg add-on</t>
        </is>
      </c>
      <c r="D15" s="139">
        <f>Kegs!C9</f>
        <v/>
      </c>
      <c r="E15" s="146" t="inlineStr">
        <is>
          <t>servings</t>
        </is>
      </c>
      <c r="F15" s="133">
        <f>ROUND(D15*0.6,0)</f>
        <v/>
      </c>
      <c r="G15" s="147" t="inlineStr">
        <is>
          <t>Asian Grocery</t>
        </is>
      </c>
    </row>
    <row r="16" ht="15" customHeight="1" s="93">
      <c r="A16" s="146" t="inlineStr">
        <is>
          <t>☐</t>
        </is>
      </c>
      <c r="B16" s="99" t="inlineStr">
        <is>
          <t>Lychee (canned) + mint/cucumber/yuzu</t>
        </is>
      </c>
      <c r="C16" s="146" t="inlineStr">
        <is>
          <t>Keg add-on</t>
        </is>
      </c>
      <c r="D16" s="139">
        <f>Kegs!B9</f>
        <v/>
      </c>
      <c r="E16" s="146" t="inlineStr">
        <is>
          <t>keg-set</t>
        </is>
      </c>
      <c r="F16" s="133">
        <f>D16*Assumptions!$B$28</f>
        <v/>
      </c>
      <c r="G16" s="147" t="inlineStr">
        <is>
          <t>Asian Grocery</t>
        </is>
      </c>
    </row>
    <row r="17" ht="15" customHeight="1" s="93">
      <c r="A17" s="116" t="inlineStr">
        <is>
          <t>☐</t>
        </is>
      </c>
      <c r="B17" s="148" t="inlineStr">
        <is>
          <t>Ginger beer (12oz cans) — Kombucha Mule</t>
        </is>
      </c>
      <c r="C17" s="116" t="inlineStr">
        <is>
          <t>Built drink</t>
        </is>
      </c>
      <c r="D17" s="149">
        <f>'Other Consumables'!D36</f>
        <v/>
      </c>
      <c r="E17" s="116" t="inlineStr">
        <is>
          <t>cans</t>
        </is>
      </c>
      <c r="F17" s="150">
        <f>D17*Assumptions!$B$97</f>
        <v/>
      </c>
      <c r="G17" s="151" t="inlineStr">
        <is>
          <t>Grocery / BevMo (Reno)</t>
        </is>
      </c>
      <c r="H17" s="152" t="inlineStr">
        <is>
          <t>Mule build — 3oz per serving (Recipes I12); Shirley Mule adds 2oz per serving (Recipes I19)</t>
        </is>
      </c>
    </row>
    <row r="18" ht="15" customHeight="1" s="93">
      <c r="A18" s="146" t="inlineStr">
        <is>
          <t>☐</t>
        </is>
      </c>
      <c r="B18" s="99" t="inlineStr">
        <is>
          <t>CO2 refills</t>
        </is>
      </c>
      <c r="C18" s="146" t="inlineStr">
        <is>
          <t>Rental/gas</t>
        </is>
      </c>
      <c r="D18" s="139">
        <f>Assumptions!$B$36</f>
        <v/>
      </c>
      <c r="E18" s="146" t="inlineStr">
        <is>
          <t>fills</t>
        </is>
      </c>
      <c r="F18" s="133">
        <f>D18*Assumptions!$B$35</f>
        <v/>
      </c>
      <c r="G18" s="147" t="inlineStr">
        <is>
          <t>Mike's Liquors</t>
        </is>
      </c>
      <c r="H18" s="92" t="inlineStr">
        <is>
          <t>10lb bottle; 2nd fill is insurance</t>
        </is>
      </c>
    </row>
    <row r="19" ht="15.75" customHeight="1" s="93">
      <c r="A19" s="146" t="inlineStr">
        <is>
          <t>☐</t>
        </is>
      </c>
      <c r="B19" s="99" t="inlineStr">
        <is>
          <t>Keg deposits (REFUNDABLE)</t>
        </is>
      </c>
      <c r="C19" s="146" t="inlineStr">
        <is>
          <t>Deposit</t>
        </is>
      </c>
      <c r="D19" s="139">
        <f>Kegs!B13</f>
        <v/>
      </c>
      <c r="E19" s="146" t="inlineStr">
        <is>
          <t>kegs</t>
        </is>
      </c>
      <c r="F19" s="133">
        <f>D19*Assumptions!$B$32</f>
        <v/>
      </c>
      <c r="G19" s="147" t="inlineStr">
        <is>
          <t>Mike's / breweries</t>
        </is>
      </c>
      <c r="H19" s="92" t="inlineStr">
        <is>
          <t>Cash up front, returned with empties — not in cost model</t>
        </is>
      </c>
    </row>
    <row r="20" ht="15.75" customHeight="1" s="93">
      <c r="A20" s="146" t="inlineStr">
        <is>
          <t>☐</t>
        </is>
      </c>
      <c r="B20" s="99" t="inlineStr">
        <is>
          <t>Double jockey box rental (2 taps, 12 days = 3x 4-day)</t>
        </is>
      </c>
      <c r="C20" s="146" t="inlineStr">
        <is>
          <t>Rental/gas</t>
        </is>
      </c>
      <c r="D20" s="139">
        <f>Assumptions!$B$34</f>
        <v/>
      </c>
      <c r="E20" s="146" t="inlineStr">
        <is>
          <t>rentals</t>
        </is>
      </c>
      <c r="F20" s="133">
        <f>D20*Assumptions!$B$33</f>
        <v/>
      </c>
      <c r="G20" s="147" t="inlineStr">
        <is>
          <t>Mike's Liquors</t>
        </is>
      </c>
      <c r="H20" s="92" t="inlineStr">
        <is>
          <t>$150 per 4-day period, without keg</t>
        </is>
      </c>
    </row>
    <row r="21" ht="15.75" customHeight="1" s="93">
      <c r="A21" s="146" t="inlineStr">
        <is>
          <t>☐</t>
        </is>
      </c>
      <c r="B21" s="99" t="inlineStr">
        <is>
          <t>19-gallon tubs (ice bath for the two live kegs)</t>
        </is>
      </c>
      <c r="C21" s="146" t="inlineStr">
        <is>
          <t>Hardware</t>
        </is>
      </c>
      <c r="D21" s="139" t="n">
        <v>2</v>
      </c>
      <c r="E21" s="146" t="inlineStr">
        <is>
          <t>tubs</t>
        </is>
      </c>
      <c r="F21" s="133">
        <f>D21*20</f>
        <v/>
      </c>
      <c r="G21" s="147" t="inlineStr">
        <is>
          <t>Mike's Liquors</t>
        </is>
      </c>
      <c r="H21" s="92" t="inlineStr">
        <is>
          <t>Purchase, $20 ea — kegs stay cool while jockey box does the chilling</t>
        </is>
      </c>
    </row>
    <row r="22" ht="15.75" customHeight="1" s="93">
      <c r="A22" s="146" t="inlineStr">
        <is>
          <t>☐</t>
        </is>
      </c>
      <c r="B22" s="99" t="inlineStr">
        <is>
          <t>CO2 tank + regulator + keg couplers (w/ jockey rental)</t>
        </is>
      </c>
      <c r="C22" s="146" t="inlineStr">
        <is>
          <t>Rental/gas</t>
        </is>
      </c>
      <c r="D22" s="139" t="n">
        <v>1</v>
      </c>
      <c r="E22" s="146" t="inlineStr">
        <is>
          <t>set</t>
        </is>
      </c>
      <c r="F22" s="133" t="n">
        <v>0</v>
      </c>
      <c r="G22" s="147" t="inlineStr">
        <is>
          <t>Mike's Liquors</t>
        </is>
      </c>
      <c r="H22" s="92" t="inlineStr">
        <is>
          <t>CONFIRM included w/ rental; else coupler rent $25/ea, regulator $79. Match coupler type (D/S) to each keg!</t>
        </is>
      </c>
    </row>
    <row r="23" ht="15.75" customHeight="1" s="93">
      <c r="A23" s="146" t="inlineStr">
        <is>
          <t>☐</t>
        </is>
      </c>
      <c r="B23" s="99" t="inlineStr">
        <is>
          <t>Jumper lines, spare washers, faucet wrench</t>
        </is>
      </c>
      <c r="C23" s="146" t="inlineStr">
        <is>
          <t>Rental/gas</t>
        </is>
      </c>
      <c r="D23" s="139" t="n">
        <v>1</v>
      </c>
      <c r="E23" s="146" t="inlineStr">
        <is>
          <t>set</t>
        </is>
      </c>
      <c r="F23" s="133" t="n">
        <v>20</v>
      </c>
      <c r="G23" s="147" t="inlineStr">
        <is>
          <t>Mike's Liquors</t>
        </is>
      </c>
      <c r="H23" s="92" t="inlineStr">
        <is>
          <t>Usually included; beer line $2.50/ft if extra runs needed</t>
        </is>
      </c>
    </row>
    <row r="24" ht="15.75" customHeight="1" s="93">
      <c r="A24" s="146" t="inlineStr">
        <is>
          <t>☐</t>
        </is>
      </c>
      <c r="B24" s="99" t="inlineStr">
        <is>
          <t>Vodka (750ml bottles)</t>
        </is>
      </c>
      <c r="C24" s="146" t="inlineStr">
        <is>
          <t>Liquor</t>
        </is>
      </c>
      <c r="D24" s="139">
        <f>'Other Consumables'!D26</f>
        <v/>
      </c>
      <c r="E24" s="146" t="inlineStr">
        <is>
          <t>bottles</t>
        </is>
      </c>
      <c r="F24" s="133">
        <f>'Other Consumables'!F26</f>
        <v/>
      </c>
      <c r="G24" s="147" t="inlineStr">
        <is>
          <t>Costco</t>
        </is>
      </c>
      <c r="H24" s="126" t="inlineStr">
        <is>
          <t>Peach/Vanilla or plain</t>
        </is>
      </c>
    </row>
    <row r="25" ht="15.75" customHeight="1" s="93">
      <c r="A25" s="146" t="inlineStr">
        <is>
          <t>☐</t>
        </is>
      </c>
      <c r="B25" s="99" t="inlineStr">
        <is>
          <t>Coconut Rum (750ml bottles)</t>
        </is>
      </c>
      <c r="C25" s="146" t="inlineStr">
        <is>
          <t>Liquor</t>
        </is>
      </c>
      <c r="D25" s="139">
        <f>'Other Consumables'!D27</f>
        <v/>
      </c>
      <c r="E25" s="146" t="inlineStr">
        <is>
          <t>bottles</t>
        </is>
      </c>
      <c r="F25" s="133">
        <f>'Other Consumables'!F27</f>
        <v/>
      </c>
      <c r="G25" s="147" t="inlineStr">
        <is>
          <t>Costco</t>
        </is>
      </c>
      <c r="H25" s="126" t="inlineStr">
        <is>
          <t>Malibu</t>
        </is>
      </c>
    </row>
    <row r="26" ht="15.75" customHeight="1" s="93">
      <c r="A26" s="146" t="inlineStr">
        <is>
          <t>☐</t>
        </is>
      </c>
      <c r="B26" s="99" t="inlineStr">
        <is>
          <t>Bourbon (750ml bottles)</t>
        </is>
      </c>
      <c r="C26" s="146" t="inlineStr">
        <is>
          <t>Liquor</t>
        </is>
      </c>
      <c r="D26" s="139">
        <f>'Other Consumables'!D28</f>
        <v/>
      </c>
      <c r="E26" s="146" t="inlineStr">
        <is>
          <t>bottles</t>
        </is>
      </c>
      <c r="F26" s="133">
        <f>'Other Consumables'!F28</f>
        <v/>
      </c>
      <c r="G26" s="147" t="inlineStr">
        <is>
          <t>Costco</t>
        </is>
      </c>
    </row>
    <row r="27" ht="15.75" customHeight="1" s="93">
      <c r="A27" s="146" t="inlineStr">
        <is>
          <t>☐</t>
        </is>
      </c>
      <c r="B27" s="99" t="inlineStr">
        <is>
          <t>Blanco Tequila (750ml bottles)</t>
        </is>
      </c>
      <c r="C27" s="146" t="inlineStr">
        <is>
          <t>Liquor</t>
        </is>
      </c>
      <c r="D27" s="139">
        <f>'Other Consumables'!D29</f>
        <v/>
      </c>
      <c r="E27" s="146" t="inlineStr">
        <is>
          <t>bottles</t>
        </is>
      </c>
      <c r="F27" s="133">
        <f>'Other Consumables'!F29</f>
        <v/>
      </c>
      <c r="G27" s="147" t="inlineStr">
        <is>
          <t>Costco</t>
        </is>
      </c>
    </row>
    <row r="28" ht="15.75" customHeight="1" s="93">
      <c r="A28" s="146" t="inlineStr">
        <is>
          <t>☐</t>
        </is>
      </c>
      <c r="B28" s="99" t="inlineStr">
        <is>
          <t>Spiced Rum (750ml bottles)</t>
        </is>
      </c>
      <c r="C28" s="146" t="inlineStr">
        <is>
          <t>Liquor</t>
        </is>
      </c>
      <c r="D28" s="139">
        <f>'Other Consumables'!D30</f>
        <v/>
      </c>
      <c r="E28" s="146" t="inlineStr">
        <is>
          <t>bottles</t>
        </is>
      </c>
      <c r="F28" s="133">
        <f>'Other Consumables'!F30</f>
        <v/>
      </c>
      <c r="G28" s="147" t="inlineStr">
        <is>
          <t>Costco</t>
        </is>
      </c>
    </row>
    <row r="29" ht="15.75" customHeight="1" s="93">
      <c r="A29" s="146" t="inlineStr">
        <is>
          <t>☐</t>
        </is>
      </c>
      <c r="B29" s="99" t="inlineStr">
        <is>
          <t>Whiskey (750ml bottles)</t>
        </is>
      </c>
      <c r="C29" s="146" t="inlineStr">
        <is>
          <t>Liquor</t>
        </is>
      </c>
      <c r="D29" s="139">
        <f>'Other Consumables'!D31</f>
        <v/>
      </c>
      <c r="E29" s="146" t="inlineStr">
        <is>
          <t>bottles</t>
        </is>
      </c>
      <c r="F29" s="133">
        <f>'Other Consumables'!F31</f>
        <v/>
      </c>
      <c r="G29" s="147" t="inlineStr">
        <is>
          <t>Costco</t>
        </is>
      </c>
      <c r="H29" s="126" t="inlineStr">
        <is>
          <t>1 pickle flavored</t>
        </is>
      </c>
    </row>
    <row r="30" ht="15.75" customHeight="1" s="93">
      <c r="A30" s="116" t="inlineStr">
        <is>
          <t>☐</t>
        </is>
      </c>
      <c r="B30" s="148" t="inlineStr">
        <is>
          <t>Tajin (rim salt) — Michelada + Ginger's Pickle</t>
        </is>
      </c>
      <c r="C30" s="116" t="inlineStr">
        <is>
          <t>Built drink</t>
        </is>
      </c>
      <c r="D30" s="149">
        <f>'Other Consumables'!D42</f>
        <v/>
      </c>
      <c r="E30" s="116" t="inlineStr">
        <is>
          <t>shakers</t>
        </is>
      </c>
      <c r="F30" s="150">
        <f>D30*Assumptions!$B$110</f>
        <v/>
      </c>
      <c r="G30" s="151" t="inlineStr">
        <is>
          <t>Latino Grocery</t>
        </is>
      </c>
      <c r="H30" s="152" t="inlineStr">
        <is>
          <t>Was a flat $20 set; now sized from every rimmed drink — Michelada, A Ginger's Pickle, Catboy Piss and Shirley Temple of Doom.</t>
        </is>
      </c>
    </row>
    <row r="31" ht="15.75" customHeight="1" s="93">
      <c r="A31" s="146" t="inlineStr">
        <is>
          <t>☐</t>
        </is>
      </c>
      <c r="B31" s="130" t="inlineStr">
        <is>
          <t>Cider keg</t>
        </is>
      </c>
      <c r="C31" s="130" t="inlineStr">
        <is>
          <t>Keg</t>
        </is>
      </c>
      <c r="D31" s="153">
        <f>Kegs!B6</f>
        <v/>
      </c>
      <c r="E31" s="130" t="inlineStr">
        <is>
          <t>kegs</t>
        </is>
      </c>
      <c r="F31" s="136">
        <f>D31*Assumptions!$B$24</f>
        <v/>
      </c>
      <c r="G31" s="154" t="inlineStr">
        <is>
          <t>Lead Dog Brewing (Reno)</t>
        </is>
      </c>
    </row>
    <row r="32" ht="15.75" customHeight="1" s="93">
      <c r="A32" s="146" t="inlineStr">
        <is>
          <t>☐</t>
        </is>
      </c>
      <c r="B32" s="130" t="inlineStr">
        <is>
          <t>Biggest Little Blonde Ale keg</t>
        </is>
      </c>
      <c r="C32" s="130" t="inlineStr">
        <is>
          <t>Keg</t>
        </is>
      </c>
      <c r="D32" s="153">
        <f>Kegs!B10</f>
        <v/>
      </c>
      <c r="E32" s="130" t="inlineStr">
        <is>
          <t>kegs</t>
        </is>
      </c>
      <c r="F32" s="136">
        <f>D32*Assumptions!$B$59*Assumptions!$B$65</f>
        <v/>
      </c>
      <c r="G32" s="154" t="inlineStr">
        <is>
          <t>Lead Dog Brewing (Reno)</t>
        </is>
      </c>
    </row>
    <row r="33" ht="15.75" customHeight="1" s="93">
      <c r="A33" s="146" t="inlineStr">
        <is>
          <t>☐</t>
        </is>
      </c>
      <c r="B33" s="130" t="inlineStr">
        <is>
          <t>Mexican Lager keg</t>
        </is>
      </c>
      <c r="C33" s="130" t="inlineStr">
        <is>
          <t>Keg</t>
        </is>
      </c>
      <c r="D33" s="130">
        <f>Kegs!B11</f>
        <v/>
      </c>
      <c r="E33" s="130" t="inlineStr">
        <is>
          <t>kegs</t>
        </is>
      </c>
      <c r="F33" s="136">
        <f>D33*Assumptions!$B$67</f>
        <v/>
      </c>
      <c r="G33" s="154" t="inlineStr">
        <is>
          <t>Mike's Liquours</t>
        </is>
      </c>
    </row>
    <row r="34" ht="15.75" customHeight="1" s="93">
      <c r="A34" s="116" t="inlineStr">
        <is>
          <t>☐</t>
        </is>
      </c>
      <c r="B34" s="148" t="inlineStr">
        <is>
          <t>Clamato (64oz bottles) — Michelada</t>
        </is>
      </c>
      <c r="C34" s="116" t="inlineStr">
        <is>
          <t>Built drink</t>
        </is>
      </c>
      <c r="D34" s="149">
        <f>'Other Consumables'!D39</f>
        <v/>
      </c>
      <c r="E34" s="116" t="inlineStr">
        <is>
          <t>bottles</t>
        </is>
      </c>
      <c r="F34" s="150">
        <f>D34*Assumptions!$B$104</f>
        <v/>
      </c>
      <c r="G34" s="151" t="inlineStr">
        <is>
          <t>Grocery / Latino Grocery</t>
        </is>
      </c>
      <c r="H34" s="152" t="inlineStr">
        <is>
          <t>Michelada build — 4oz per serving (Recipes G4)</t>
        </is>
      </c>
    </row>
    <row r="35" ht="15.75" customHeight="1" s="93">
      <c r="A35" s="127" t="inlineStr">
        <is>
          <t>☐</t>
        </is>
      </c>
      <c r="B35" s="92" t="inlineStr">
        <is>
          <t>Watermelon (whole — blend &amp; strain for Mon fresca)</t>
        </is>
      </c>
      <c r="C35" s="92" t="inlineStr">
        <is>
          <t>Daily Special</t>
        </is>
      </c>
      <c r="D35" s="92">
        <f>'Daily Schedule'!D18</f>
        <v/>
      </c>
      <c r="E35" s="92" t="inlineStr">
        <is>
          <t>melons</t>
        </is>
      </c>
      <c r="F35" s="92">
        <f>'Daily Schedule'!F18</f>
        <v/>
      </c>
      <c r="G35" s="155" t="inlineStr">
        <is>
          <t>Grocery (Reno) / Costco</t>
        </is>
      </c>
    </row>
    <row r="36" ht="15.75" customHeight="1" s="93">
      <c r="A36" s="92" t="inlineStr">
        <is>
          <t>☐</t>
        </is>
      </c>
      <c r="B36" s="92" t="inlineStr">
        <is>
          <t>Agave syrup — jug frescas</t>
        </is>
      </c>
      <c r="C36" s="92" t="inlineStr">
        <is>
          <t>Daily Special</t>
        </is>
      </c>
      <c r="D36" s="92">
        <f>'Daily Schedule'!D19</f>
        <v/>
      </c>
      <c r="E36" s="92" t="inlineStr">
        <is>
          <t>bottles</t>
        </is>
      </c>
      <c r="F36" s="92">
        <f>'Daily Schedule'!F19</f>
        <v/>
      </c>
      <c r="G36" s="155" t="inlineStr">
        <is>
          <t>Grocery / Costco</t>
        </is>
      </c>
      <c r="H36" s="92" t="inlineStr">
        <is>
          <t>Mon Hard Reset + Wed Red Flag (Daily Schedule row 19)</t>
        </is>
      </c>
    </row>
    <row r="37" ht="15.75" customHeight="1" s="93">
      <c r="A37" s="92" t="inlineStr">
        <is>
          <t>☐</t>
        </is>
      </c>
      <c r="B37" s="92" t="inlineStr">
        <is>
          <t>Sakura + orange syrup (Sat Catboy Café add-on)</t>
        </is>
      </c>
      <c r="C37" s="92" t="inlineStr">
        <is>
          <t>Built drink</t>
        </is>
      </c>
      <c r="D37" s="92">
        <f>Assumptions!$B$63</f>
        <v/>
      </c>
      <c r="E37" s="92" t="inlineStr">
        <is>
          <t>bottles</t>
        </is>
      </c>
      <c r="F37" s="92">
        <f>D37*Assumptions!$B$62</f>
        <v/>
      </c>
      <c r="G37" s="155" t="inlineStr">
        <is>
          <t>Asian Grocery / Amazon</t>
        </is>
      </c>
      <c r="H37" s="92" t="inlineStr">
        <is>
          <t>Sakura + orange syrup for the built Catboy Café Green Tea (Recipes row 14)</t>
        </is>
      </c>
    </row>
    <row r="38" ht="15.75" customHeight="1" s="93">
      <c r="A38" s="92" t="inlineStr">
        <is>
          <t>☐</t>
        </is>
      </c>
      <c r="B38" s="92" t="inlineStr">
        <is>
          <t>Orange juice (64oz cartons)</t>
        </is>
      </c>
      <c r="C38" s="92" t="inlineStr">
        <is>
          <t>Daily Special</t>
        </is>
      </c>
      <c r="D38" s="92">
        <f>'Daily Schedule'!D23</f>
        <v/>
      </c>
      <c r="E38" s="92" t="inlineStr">
        <is>
          <t>cartons</t>
        </is>
      </c>
      <c r="F38" s="92">
        <f>'Daily Schedule'!F23</f>
        <v/>
      </c>
      <c r="G38" s="155" t="inlineStr">
        <is>
          <t>Costco / Grocery (Reno)</t>
        </is>
      </c>
    </row>
    <row r="39" ht="15.75" customHeight="1" s="93">
      <c r="A39" s="92" t="inlineStr">
        <is>
          <t>☐</t>
        </is>
      </c>
      <c r="B39" s="92" t="inlineStr">
        <is>
          <t>Pineapple juice (46oz cans)</t>
        </is>
      </c>
      <c r="C39" s="92" t="inlineStr">
        <is>
          <t>Daily Special</t>
        </is>
      </c>
      <c r="D39" s="92">
        <f>'Daily Schedule'!D24</f>
        <v/>
      </c>
      <c r="E39" s="92" t="inlineStr">
        <is>
          <t>cans</t>
        </is>
      </c>
      <c r="F39" s="92">
        <f>'Daily Schedule'!F24</f>
        <v/>
      </c>
      <c r="G39" s="155" t="inlineStr">
        <is>
          <t>Costco / Grocery (Reno)</t>
        </is>
      </c>
    </row>
    <row r="40" ht="15.75" customHeight="1" s="93">
      <c r="A40" s="92" t="inlineStr">
        <is>
          <t>☐</t>
        </is>
      </c>
      <c r="B40" s="92" t="inlineStr">
        <is>
          <t>Grenadine</t>
        </is>
      </c>
      <c r="C40" s="92" t="inlineStr">
        <is>
          <t>Daily Special</t>
        </is>
      </c>
      <c r="D40" s="92">
        <f>'Daily Schedule'!D25</f>
        <v/>
      </c>
      <c r="E40" s="92" t="inlineStr">
        <is>
          <t>bottles</t>
        </is>
      </c>
      <c r="F40" s="92">
        <f>'Daily Schedule'!F25</f>
        <v/>
      </c>
      <c r="G40" s="155" t="inlineStr">
        <is>
          <t>BevMo / Grocery</t>
        </is>
      </c>
    </row>
    <row r="41" ht="15.75" customHeight="1" s="93">
      <c r="A41" s="92" t="inlineStr">
        <is>
          <t>☐</t>
        </is>
      </c>
      <c r="B41" s="92" t="inlineStr">
        <is>
          <t>Blue spirulina powder</t>
        </is>
      </c>
      <c r="C41" s="92" t="inlineStr">
        <is>
          <t>Daily Special</t>
        </is>
      </c>
      <c r="D41" s="92">
        <f>'Daily Schedule'!D26</f>
        <v/>
      </c>
      <c r="E41" s="92" t="inlineStr">
        <is>
          <t>jar</t>
        </is>
      </c>
      <c r="F41" s="92">
        <f>'Daily Schedule'!F26</f>
        <v/>
      </c>
      <c r="G41" s="155" t="inlineStr">
        <is>
          <t>Amazon</t>
        </is>
      </c>
      <c r="H41" s="92" t="inlineStr">
        <is>
          <t>DIY Baja Blast color (Tue)</t>
        </is>
      </c>
    </row>
    <row r="42" ht="15.75" customHeight="1" s="93">
      <c r="A42" s="92" t="inlineStr">
        <is>
          <t>☐</t>
        </is>
      </c>
      <c r="B42" s="92" t="inlineStr">
        <is>
          <t>Lime juice (48oz bottles)</t>
        </is>
      </c>
      <c r="C42" s="92" t="inlineStr">
        <is>
          <t>Daily Special</t>
        </is>
      </c>
      <c r="D42" s="92">
        <f>'Daily Schedule'!D27</f>
        <v/>
      </c>
      <c r="E42" s="92" t="inlineStr">
        <is>
          <t>bottles</t>
        </is>
      </c>
      <c r="F42" s="92">
        <f>'Daily Schedule'!F27</f>
        <v/>
      </c>
      <c r="G42" s="155" t="inlineStr">
        <is>
          <t>Grocery (Reno)</t>
        </is>
      </c>
    </row>
    <row r="43" ht="15.75" customHeight="1" s="93">
      <c r="A43" s="92" t="inlineStr">
        <is>
          <t>☐</t>
        </is>
      </c>
      <c r="B43" s="92" t="inlineStr">
        <is>
          <t>Maraschino cherries</t>
        </is>
      </c>
      <c r="C43" s="92" t="inlineStr">
        <is>
          <t>Daily Special</t>
        </is>
      </c>
      <c r="D43" s="92">
        <f>'Daily Schedule'!D28</f>
        <v/>
      </c>
      <c r="E43" s="92" t="inlineStr">
        <is>
          <t>jars</t>
        </is>
      </c>
      <c r="F43" s="92">
        <f>'Daily Schedule'!F28</f>
        <v/>
      </c>
      <c r="G43" s="155" t="inlineStr">
        <is>
          <t>Grocery (Reno)</t>
        </is>
      </c>
      <c r="H43" s="92" t="inlineStr">
        <is>
          <t>Wed Cherry Limeade garnish</t>
        </is>
      </c>
    </row>
    <row r="44" ht="15.75" customHeight="1" s="93">
      <c r="A44" s="92" t="inlineStr">
        <is>
          <t>☐</t>
        </is>
      </c>
      <c r="B44" s="92" t="inlineStr">
        <is>
          <t>Cold brew coffee grounds (coarse)</t>
        </is>
      </c>
      <c r="C44" s="92" t="inlineStr">
        <is>
          <t>Camp bulk</t>
        </is>
      </c>
      <c r="D44" s="104">
        <f>'Camp Drinks'!E6</f>
        <v/>
      </c>
      <c r="E44" s="92" t="inlineStr">
        <is>
          <t>3lb bags</t>
        </is>
      </c>
      <c r="F44" s="156">
        <f>'Camp Drinks'!H6</f>
        <v/>
      </c>
      <c r="G44" s="155" t="inlineStr">
        <is>
          <t>Costco</t>
        </is>
      </c>
      <c r="H44" s="92" t="inlineStr">
        <is>
          <t>~3 gal ready-to-drink per day</t>
        </is>
      </c>
    </row>
    <row r="45" ht="15.75" customHeight="1" s="93">
      <c r="A45" s="92" t="inlineStr">
        <is>
          <t>☐</t>
        </is>
      </c>
      <c r="B45" s="92" t="inlineStr">
        <is>
          <t>Electrolyte mix (powder)</t>
        </is>
      </c>
      <c r="C45" s="92" t="inlineStr">
        <is>
          <t>Camp bulk</t>
        </is>
      </c>
      <c r="D45" s="104">
        <f>'Camp Drinks'!E7</f>
        <v/>
      </c>
      <c r="E45" s="92" t="inlineStr">
        <is>
          <t>canisters</t>
        </is>
      </c>
      <c r="F45" s="156">
        <f>'Camp Drinks'!H7</f>
        <v/>
      </c>
      <c r="G45" s="155" t="inlineStr">
        <is>
          <t>Costco</t>
        </is>
      </c>
      <c r="H45" s="92" t="inlineStr">
        <is>
          <t>~5 gal per day</t>
        </is>
      </c>
    </row>
    <row r="46" ht="15.75" customHeight="1" s="93">
      <c r="A46" s="92" t="inlineStr">
        <is>
          <t>☐</t>
        </is>
      </c>
      <c r="B46" s="92" t="inlineStr">
        <is>
          <t>Tangerine juice (52oz bottles)</t>
        </is>
      </c>
      <c r="C46" s="92" t="inlineStr">
        <is>
          <t>Built drink</t>
        </is>
      </c>
      <c r="D46" s="92">
        <f>'Other Consumables'!D21</f>
        <v/>
      </c>
      <c r="E46" s="92" t="inlineStr">
        <is>
          <t>bottles</t>
        </is>
      </c>
      <c r="F46" s="92">
        <f>D46*Assumptions!$B$90</f>
        <v/>
      </c>
      <c r="G46" s="155" t="inlineStr">
        <is>
          <t>Costco / Grocery (Reno)</t>
        </is>
      </c>
      <c r="H46" s="92" t="inlineStr">
        <is>
          <t>Tang Dynasty (kombucha keg)</t>
        </is>
      </c>
    </row>
    <row r="47" ht="15.75" customHeight="1" s="93">
      <c r="A47" s="92" t="inlineStr">
        <is>
          <t>☐</t>
        </is>
      </c>
      <c r="B47" s="92" t="inlineStr">
        <is>
          <t>Pineapple purée (22oz squeeze)</t>
        </is>
      </c>
      <c r="C47" s="92" t="inlineStr">
        <is>
          <t>Syrup</t>
        </is>
      </c>
      <c r="D47" s="157">
        <f>'Other Consumables'!D18</f>
        <v/>
      </c>
      <c r="E47" s="92" t="inlineStr">
        <is>
          <t>bottles</t>
        </is>
      </c>
      <c r="F47" s="92">
        <f>D47*Assumptions!$B$93</f>
        <v/>
      </c>
      <c r="G47" s="155" t="inlineStr">
        <is>
          <t>Amazon</t>
        </is>
      </c>
      <c r="H47" s="92" t="inlineStr">
        <is>
          <t>Citrus Spritzer + Sprite Punch</t>
        </is>
      </c>
    </row>
    <row r="48" ht="15.75" customHeight="1" s="93">
      <c r="A48" s="92" t="inlineStr">
        <is>
          <t>☐</t>
        </is>
      </c>
      <c r="B48" s="92" t="inlineStr">
        <is>
          <t>Fresh mint (bunches)</t>
        </is>
      </c>
      <c r="C48" s="92" t="inlineStr">
        <is>
          <t>Garnish</t>
        </is>
      </c>
      <c r="D48" s="92" t="n">
        <v>4</v>
      </c>
      <c r="E48" s="92" t="inlineStr">
        <is>
          <t>bunches</t>
        </is>
      </c>
      <c r="F48" s="92" t="n">
        <v>12</v>
      </c>
      <c r="G48" s="155" t="inlineStr">
        <is>
          <t>Grocery (Reno)</t>
        </is>
      </c>
      <c r="H48" s="92" t="inlineStr">
        <is>
          <t>Mon fresca (blended in), Tang Dynasty, green tea add-on</t>
        </is>
      </c>
    </row>
    <row r="49" ht="15.75" customHeight="1" s="93">
      <c r="A49" s="92" t="inlineStr">
        <is>
          <t>☐</t>
        </is>
      </c>
      <c r="B49" s="92" t="inlineStr">
        <is>
          <t>Fresh basil (bunches)</t>
        </is>
      </c>
      <c r="C49" s="92" t="inlineStr">
        <is>
          <t>Garnish</t>
        </is>
      </c>
      <c r="D49" s="92" t="n">
        <v>2</v>
      </c>
      <c r="E49" s="92" t="inlineStr">
        <is>
          <t>bunches</t>
        </is>
      </c>
      <c r="F49" s="92" t="n">
        <v>6</v>
      </c>
      <c r="G49" s="155" t="inlineStr">
        <is>
          <t>Grocery (Reno)</t>
        </is>
      </c>
      <c r="H49" s="92" t="inlineStr">
        <is>
          <t>Tang Dynasty alternate leaf</t>
        </is>
      </c>
    </row>
    <row r="50" ht="15.75" customHeight="1" s="93">
      <c r="A50" s="92" t="inlineStr">
        <is>
          <t>☐</t>
        </is>
      </c>
      <c r="B50" s="92" t="inlineStr">
        <is>
          <t>Limes (5lb bag)</t>
        </is>
      </c>
      <c r="C50" s="92" t="inlineStr">
        <is>
          <t>Garnish</t>
        </is>
      </c>
      <c r="D50" s="92" t="n">
        <v>1</v>
      </c>
      <c r="E50" s="92" t="inlineStr">
        <is>
          <t>bag</t>
        </is>
      </c>
      <c r="F50" s="92" t="n">
        <v>10</v>
      </c>
      <c r="G50" s="155" t="inlineStr">
        <is>
          <t>Costco / Grocery (Reno)</t>
        </is>
      </c>
      <c r="H50" s="92" t="inlineStr">
        <is>
          <t>Cherry Limeade wedges + Mon fresca / Thu sunrise squeezes (Michelada &amp; Tang Dynasty limes are row 57)</t>
        </is>
      </c>
    </row>
    <row r="51" ht="15.75" customHeight="1" s="93">
      <c r="A51" s="92" t="inlineStr">
        <is>
          <t>☐</t>
        </is>
      </c>
      <c r="B51" s="92" t="inlineStr">
        <is>
          <t>Ground cinnamon + rim sugar</t>
        </is>
      </c>
      <c r="C51" s="92" t="inlineStr">
        <is>
          <t>Garnish</t>
        </is>
      </c>
      <c r="D51" s="92" t="n">
        <v>1</v>
      </c>
      <c r="E51" s="92" t="inlineStr">
        <is>
          <t>set</t>
        </is>
      </c>
      <c r="F51" s="92" t="n">
        <v>6</v>
      </c>
      <c r="G51" s="155" t="inlineStr">
        <is>
          <t>Grocery (Reno)</t>
        </is>
      </c>
      <c r="H51" s="92" t="inlineStr">
        <is>
          <t>Horchata dust + cider cinnamon-sugar rim</t>
        </is>
      </c>
    </row>
    <row r="52" ht="15.75" customHeight="1" s="93">
      <c r="A52" s="92" t="inlineStr">
        <is>
          <t>☐</t>
        </is>
      </c>
      <c r="B52" s="92" t="inlineStr">
        <is>
          <t>Pickles, 32oz jars (juice + spears)</t>
        </is>
      </c>
      <c r="C52" s="92" t="inlineStr">
        <is>
          <t>Garnish</t>
        </is>
      </c>
      <c r="D52" s="92" t="n">
        <v>2</v>
      </c>
      <c r="E52" s="92" t="inlineStr">
        <is>
          <t>jars</t>
        </is>
      </c>
      <c r="F52" s="92" t="n">
        <v>10</v>
      </c>
      <c r="G52" s="155" t="inlineStr">
        <is>
          <t>Grocery (Reno)</t>
        </is>
      </c>
      <c r="H52" s="92" t="inlineStr">
        <is>
          <t>A Ginger's Pickle: 0.5oz juice per drink + spear garnish</t>
        </is>
      </c>
    </row>
    <row r="53" ht="15.75" customHeight="1" s="93">
      <c r="A53" s="92" t="inlineStr">
        <is>
          <t>☐</t>
        </is>
      </c>
      <c r="B53" s="92" t="inlineStr">
        <is>
          <t>Grapefruit (paloma wheels)</t>
        </is>
      </c>
      <c r="C53" s="92" t="inlineStr">
        <is>
          <t>Garnish</t>
        </is>
      </c>
      <c r="D53" s="92" t="n">
        <v>6</v>
      </c>
      <c r="E53" s="92" t="inlineStr">
        <is>
          <t>each</t>
        </is>
      </c>
      <c r="F53" s="92" t="n">
        <v>6</v>
      </c>
      <c r="G53" s="155" t="inlineStr">
        <is>
          <t>Grocery (Reno)</t>
        </is>
      </c>
      <c r="H53" s="92" t="inlineStr">
        <is>
          <t>Ancho Paloma Sour Ale garnish</t>
        </is>
      </c>
    </row>
    <row r="54" ht="15.75" customHeight="1" s="93">
      <c r="A54" s="92" t="inlineStr">
        <is>
          <t>☐</t>
        </is>
      </c>
      <c r="B54" s="92" t="inlineStr">
        <is>
          <t>Apples &amp; pears (cider slices)</t>
        </is>
      </c>
      <c r="C54" s="92" t="inlineStr">
        <is>
          <t>Garnish</t>
        </is>
      </c>
      <c r="D54" s="92" t="n">
        <v>8</v>
      </c>
      <c r="E54" s="92" t="inlineStr">
        <is>
          <t>each</t>
        </is>
      </c>
      <c r="F54" s="92" t="n">
        <v>10</v>
      </c>
      <c r="G54" s="155" t="inlineStr">
        <is>
          <t>Grocery (Reno)</t>
        </is>
      </c>
      <c r="H54" s="92" t="inlineStr">
        <is>
          <t>Cider keg garnish</t>
        </is>
      </c>
    </row>
    <row r="55" ht="15.75" customHeight="1" s="93">
      <c r="A55" s="116" t="inlineStr">
        <is>
          <t>☐</t>
        </is>
      </c>
      <c r="B55" s="148" t="inlineStr">
        <is>
          <t>Lemons, whole (fresh juice) — Kombucha Mule</t>
        </is>
      </c>
      <c r="C55" s="116" t="inlineStr">
        <is>
          <t>Built drink</t>
        </is>
      </c>
      <c r="D55" s="149">
        <f>'Other Consumables'!D37</f>
        <v/>
      </c>
      <c r="E55" s="116" t="inlineStr">
        <is>
          <t>each</t>
        </is>
      </c>
      <c r="F55" s="150">
        <f>D55*Assumptions!$B$100</f>
        <v/>
      </c>
      <c r="G55" s="151" t="inlineStr">
        <is>
          <t>Grocery (Reno)</t>
        </is>
      </c>
      <c r="H55" s="152" t="inlineStr">
        <is>
          <t>Mule build — 0.5oz juice per serving (Recipes G12)</t>
        </is>
      </c>
    </row>
    <row r="56" ht="15.75" customHeight="1" s="93">
      <c r="A56" s="116" t="inlineStr">
        <is>
          <t>☐</t>
        </is>
      </c>
      <c r="B56" s="148" t="inlineStr">
        <is>
          <t>Lapsang souchong loose leaf (Smoke Test)</t>
        </is>
      </c>
      <c r="C56" s="116" t="inlineStr">
        <is>
          <t>Daily Special</t>
        </is>
      </c>
      <c r="D56" s="149">
        <f>'Daily Schedule'!D30</f>
        <v/>
      </c>
      <c r="E56" s="116" t="inlineStr">
        <is>
          <t>bags</t>
        </is>
      </c>
      <c r="F56" s="150">
        <f>'Daily Schedule'!F30</f>
        <v/>
      </c>
      <c r="G56" s="151" t="inlineStr">
        <is>
          <t>Asian Grocery / Tea shop</t>
        </is>
      </c>
      <c r="H56" s="152" t="inlineStr">
        <is>
          <t>Tue Smoke Test — ~2oz dry leaf per jug (Assumptions B142)</t>
        </is>
      </c>
    </row>
    <row r="57" ht="15.75" customHeight="1" s="93">
      <c r="A57" s="116" t="inlineStr">
        <is>
          <t>☐</t>
        </is>
      </c>
      <c r="B57" s="148" t="inlineStr">
        <is>
          <t>Limes, whole (fresh juice) — Michelada + Tang Dynasty</t>
        </is>
      </c>
      <c r="C57" s="116" t="inlineStr">
        <is>
          <t>Built drink</t>
        </is>
      </c>
      <c r="D57" s="149">
        <f>'Other Consumables'!D40</f>
        <v/>
      </c>
      <c r="E57" s="116" t="inlineStr">
        <is>
          <t>each</t>
        </is>
      </c>
      <c r="F57" s="150">
        <f>D57*Assumptions!$B$112</f>
        <v/>
      </c>
      <c r="G57" s="151" t="inlineStr">
        <is>
          <t>Grocery (Reno)</t>
        </is>
      </c>
      <c r="H57" s="152" t="inlineStr">
        <is>
          <t>0.5oz per Michelada (Recipes I4) + 0.5oz per Tang Dynasty (Assumptions B113)</t>
        </is>
      </c>
    </row>
    <row r="58" ht="15.75" customHeight="1" s="93">
      <c r="A58" s="158" t="inlineStr">
        <is>
          <t>☐</t>
        </is>
      </c>
      <c r="B58" s="159" t="inlineStr">
        <is>
          <t>Hot sauce (12oz bottles) — Michelada</t>
        </is>
      </c>
      <c r="C58" s="116" t="inlineStr">
        <is>
          <t>Built drink</t>
        </is>
      </c>
      <c r="D58" s="149">
        <f>'Other Consumables'!D41</f>
        <v/>
      </c>
      <c r="E58" s="116" t="inlineStr">
        <is>
          <t>bottles</t>
        </is>
      </c>
      <c r="F58" s="160">
        <f>D58*Assumptions!$B$107</f>
        <v/>
      </c>
      <c r="G58" s="151" t="inlineStr">
        <is>
          <t>Latino Grocery</t>
        </is>
      </c>
      <c r="H58" s="152" t="inlineStr">
        <is>
          <t>Michelada build — 0.25oz per serving (Assumptions B105)</t>
        </is>
      </c>
    </row>
    <row r="59" ht="15.75" customHeight="1" s="93">
      <c r="A59" s="158" t="inlineStr">
        <is>
          <t>☐</t>
        </is>
      </c>
      <c r="B59" s="159" t="inlineStr">
        <is>
          <t>Orange juice (64oz cartons) — Catboy Café build</t>
        </is>
      </c>
      <c r="C59" s="116" t="inlineStr">
        <is>
          <t>Built drink</t>
        </is>
      </c>
      <c r="D59" s="149">
        <f>'Other Consumables'!D43</f>
        <v/>
      </c>
      <c r="E59" s="116" t="inlineStr">
        <is>
          <t>cartons</t>
        </is>
      </c>
      <c r="F59" s="160">
        <f>D59*Assumptions!$B$70</f>
        <v/>
      </c>
      <c r="G59" s="151" t="inlineStr">
        <is>
          <t>Costco / Grocery (Reno)</t>
        </is>
      </c>
      <c r="H59" s="92" t="inlineStr">
        <is>
          <t>Built drink — 3oz per serving (Recipes G14)</t>
        </is>
      </c>
    </row>
    <row r="60" ht="15.75" customHeight="1" s="93">
      <c r="A60" s="158" t="inlineStr">
        <is>
          <t>☐</t>
        </is>
      </c>
      <c r="B60" s="159" t="inlineStr">
        <is>
          <t>Cucumbers, whole — Thirst Trap</t>
        </is>
      </c>
      <c r="C60" s="116" t="inlineStr">
        <is>
          <t>Fresh produce</t>
        </is>
      </c>
      <c r="D60" s="149">
        <f>'Other Consumables'!D44</f>
        <v/>
      </c>
      <c r="E60" s="116" t="inlineStr">
        <is>
          <t>each</t>
        </is>
      </c>
      <c r="F60" s="160">
        <f>D60*Assumptions!$B$123</f>
        <v/>
      </c>
      <c r="G60" s="151" t="inlineStr">
        <is>
          <t>Grocery (Reno)</t>
        </is>
      </c>
      <c r="H60" s="92" t="inlineStr">
        <is>
          <t>Thirst Trap — 0.75oz muddled per serving (Recipes G13)</t>
        </is>
      </c>
    </row>
    <row r="61" ht="15.75" customHeight="1" s="93">
      <c r="A61" s="158" t="inlineStr">
        <is>
          <t>☐</t>
        </is>
      </c>
      <c r="B61" s="159" t="inlineStr">
        <is>
          <t>Limes, whole (fresh juice) — Thirst Trap + Shirley variants</t>
        </is>
      </c>
      <c r="C61" s="116" t="inlineStr">
        <is>
          <t>Fresh produce</t>
        </is>
      </c>
      <c r="D61" s="149">
        <f>'Other Consumables'!D45</f>
        <v/>
      </c>
      <c r="E61" s="116" t="inlineStr">
        <is>
          <t>each</t>
        </is>
      </c>
      <c r="F61" s="160">
        <f>D61*Assumptions!$B$112</f>
        <v/>
      </c>
      <c r="G61" s="151" t="inlineStr">
        <is>
          <t>Grocery (Reno)</t>
        </is>
      </c>
      <c r="H61" s="92" t="inlineStr">
        <is>
          <t>Thirst Trap 0.5oz (Recipes I13) + Shirley Temple of Doom 0.5oz (Recipes I18) + Shirley Mule 0.5oz (Assumptions B154)</t>
        </is>
      </c>
    </row>
    <row r="62" ht="15.75" customHeight="1" s="93">
      <c r="A62" s="158" t="inlineStr">
        <is>
          <t>☐</t>
        </is>
      </c>
      <c r="B62" s="159" t="inlineStr">
        <is>
          <t>Dried hibiscus flowers (Red Flag)</t>
        </is>
      </c>
      <c r="C62" s="116" t="inlineStr">
        <is>
          <t>Daily Special</t>
        </is>
      </c>
      <c r="D62" s="149">
        <f>'Daily Schedule'!D29</f>
        <v/>
      </c>
      <c r="E62" s="116" t="inlineStr">
        <is>
          <t>lb bags</t>
        </is>
      </c>
      <c r="F62" s="160">
        <f>'Daily Schedule'!F29</f>
        <v/>
      </c>
      <c r="G62" s="151" t="inlineStr">
        <is>
          <t>Latino Grocery / Asian Grocery</t>
        </is>
      </c>
      <c r="H62" s="92" t="inlineStr">
        <is>
          <t>Wed Red Flag — agua de Jamaica</t>
        </is>
      </c>
    </row>
    <row r="63" ht="15.75" customHeight="1" s="93">
      <c r="A63" s="158" t="inlineStr">
        <is>
          <t>☐</t>
        </is>
      </c>
      <c r="B63" s="159" t="inlineStr">
        <is>
          <t>Apple cider vinegar (32oz) — SCOBY-Dew</t>
        </is>
      </c>
      <c r="C63" s="116" t="inlineStr">
        <is>
          <t>Built drink</t>
        </is>
      </c>
      <c r="D63" s="149">
        <f>'Other Consumables'!D46</f>
        <v/>
      </c>
      <c r="E63" s="116" t="inlineStr">
        <is>
          <t>bottles</t>
        </is>
      </c>
      <c r="F63" s="160">
        <f>D63*Assumptions!$B$130</f>
        <v/>
      </c>
      <c r="G63" s="151" t="inlineStr">
        <is>
          <t>Grocery (Reno)</t>
        </is>
      </c>
      <c r="H63" s="92" t="inlineStr">
        <is>
          <t>0.25oz per serving (Assumptions B128)</t>
        </is>
      </c>
    </row>
    <row r="64" ht="15.75" customHeight="1" s="93">
      <c r="A64" s="158" t="inlineStr">
        <is>
          <t>☐</t>
        </is>
      </c>
      <c r="B64" s="159" t="inlineStr">
        <is>
          <t>Agave syrup — SCOBY-Dew</t>
        </is>
      </c>
      <c r="C64" s="116" t="inlineStr">
        <is>
          <t>Built drink</t>
        </is>
      </c>
      <c r="D64" s="149">
        <f>'Other Consumables'!D47</f>
        <v/>
      </c>
      <c r="E64" s="116" t="inlineStr">
        <is>
          <t>bottles</t>
        </is>
      </c>
      <c r="F64" s="160">
        <f>D64*Assumptions!$B$133</f>
        <v/>
      </c>
      <c r="G64" s="151" t="inlineStr">
        <is>
          <t>Grocery (Reno)</t>
        </is>
      </c>
      <c r="H64" s="92" t="inlineStr">
        <is>
          <t>0.25oz per serving (Assumptions B131)</t>
        </is>
      </c>
    </row>
    <row r="65" ht="15.75" customHeight="1" s="93">
      <c r="A65" s="158" t="inlineStr">
        <is>
          <t>☐</t>
        </is>
      </c>
      <c r="B65" s="159" t="inlineStr">
        <is>
          <t>Suan mei tang packets (sour plum drink)</t>
        </is>
      </c>
      <c r="C65" s="116" t="inlineStr">
        <is>
          <t>Camp bulk</t>
        </is>
      </c>
      <c r="D65" s="149">
        <f>'Camp Drinks'!E8</f>
        <v/>
      </c>
      <c r="E65" s="116" t="inlineStr">
        <is>
          <t>packets</t>
        </is>
      </c>
      <c r="F65" s="160">
        <f>'Camp Drinks'!H8</f>
        <v/>
      </c>
      <c r="G65" s="151" t="inlineStr">
        <is>
          <t>Asian Grocery</t>
        </is>
      </c>
      <c r="H65" s="92" t="inlineStr">
        <is>
          <t>Camp drink — 5 gal</t>
        </is>
      </c>
    </row>
    <row r="66" ht="15.75" customHeight="1" s="93">
      <c r="A66" s="158" t="inlineStr">
        <is>
          <t>☐</t>
        </is>
      </c>
      <c r="B66" s="159" t="inlineStr">
        <is>
          <t>Mugicha teabags (roasted barley tea)</t>
        </is>
      </c>
      <c r="C66" s="116" t="inlineStr">
        <is>
          <t>Camp bulk</t>
        </is>
      </c>
      <c r="D66" s="149">
        <f>'Camp Drinks'!E9</f>
        <v/>
      </c>
      <c r="E66" s="116" t="inlineStr">
        <is>
          <t>boxes</t>
        </is>
      </c>
      <c r="F66" s="160">
        <f>'Camp Drinks'!H9</f>
        <v/>
      </c>
      <c r="G66" s="151" t="inlineStr">
        <is>
          <t>Asian Grocery</t>
        </is>
      </c>
      <c r="H66" s="92" t="inlineStr">
        <is>
          <t>Camp drink — 5 gal, unsweetened</t>
        </is>
      </c>
    </row>
    <row r="67" ht="15.75" customHeight="1" s="93">
      <c r="A67" s="158" t="inlineStr">
        <is>
          <t>☐</t>
        </is>
      </c>
      <c r="B67" s="159" t="inlineStr">
        <is>
          <t>Kombucha keg — Brew Dr. Clear Mind</t>
        </is>
      </c>
      <c r="C67" s="116" t="inlineStr">
        <is>
          <t>Keg</t>
        </is>
      </c>
      <c r="D67" s="149">
        <f>Kegs!B12</f>
        <v/>
      </c>
      <c r="E67" s="116" t="inlineStr">
        <is>
          <t>kegs</t>
        </is>
      </c>
      <c r="F67" s="160">
        <f>D67*Assumptions!$B$145</f>
        <v/>
      </c>
      <c r="G67" s="151" t="inlineStr">
        <is>
          <t>Mike's Liquours</t>
        </is>
      </c>
      <c r="H67" s="92" t="inlineStr">
        <is>
          <t>Feeds the built Clear Cache (Recipes row 15)</t>
        </is>
      </c>
    </row>
    <row r="68" ht="15.75" customHeight="1" s="93">
      <c r="A68" s="158" t="inlineStr">
        <is>
          <t>☐</t>
        </is>
      </c>
      <c r="B68" s="159" t="inlineStr">
        <is>
          <t>Fresh sage (bunches)</t>
        </is>
      </c>
      <c r="C68" s="116" t="inlineStr">
        <is>
          <t>Garnish</t>
        </is>
      </c>
      <c r="D68" s="149" t="n">
        <v>2</v>
      </c>
      <c r="E68" s="116" t="inlineStr">
        <is>
          <t>bunches</t>
        </is>
      </c>
      <c r="F68" s="160" t="n">
        <v>6</v>
      </c>
      <c r="G68" s="151" t="inlineStr">
        <is>
          <t>Grocery (Reno)</t>
        </is>
      </c>
      <c r="H68" s="92" t="inlineStr">
        <is>
          <t>Clear Cache garnish — slapped leaf per drink</t>
        </is>
      </c>
    </row>
    <row r="69" ht="15.75" customHeight="1" s="93">
      <c r="A69" s="158" t="inlineStr">
        <is>
          <t>☐</t>
        </is>
      </c>
      <c r="B69" s="159" t="inlineStr">
        <is>
          <t>Aloe vera juice (1.5 L, with pulp) — Catboy Snot</t>
        </is>
      </c>
      <c r="C69" s="116" t="inlineStr">
        <is>
          <t>Built drink</t>
        </is>
      </c>
      <c r="D69" s="149">
        <f>'Other Consumables'!D48</f>
        <v/>
      </c>
      <c r="E69" s="116" t="inlineStr">
        <is>
          <t>bottles</t>
        </is>
      </c>
      <c r="F69" s="160">
        <f>D69*Assumptions!$B$149</f>
        <v/>
      </c>
      <c r="G69" s="151" t="inlineStr">
        <is>
          <t>Asian Grocery</t>
        </is>
      </c>
      <c r="H69" s="92" t="inlineStr">
        <is>
          <t>Sat Catboy Snot — 2oz/serving (Assumptions B147). DRINKING aloe, inner-fillet/decolorized (OKF Aloe Vera King, Grace, Alo) — NOT whole-leaf or supplement aloe. Separate line from the keg-garnish aloe on row 15.</t>
        </is>
      </c>
    </row>
    <row r="70" ht="15.75" customHeight="1" s="93">
      <c r="A70" s="158" t="inlineStr">
        <is>
          <t>☐</t>
        </is>
      </c>
      <c r="B70" s="159" t="inlineStr">
        <is>
          <t>Basil seeds / sabja / tukmaria — OPTIONAL</t>
        </is>
      </c>
      <c r="C70" s="116" t="inlineStr">
        <is>
          <t>Built drink</t>
        </is>
      </c>
      <c r="D70" s="149">
        <f>'Other Consumables'!D49</f>
        <v/>
      </c>
      <c r="E70" s="116" t="inlineStr">
        <is>
          <t>bags</t>
        </is>
      </c>
      <c r="F70" s="160">
        <f>D70*Assumptions!$B$152</f>
        <v/>
      </c>
      <c r="G70" s="151" t="inlineStr">
        <is>
          <t>Indian / Asian Grocery</t>
        </is>
      </c>
      <c r="H70" s="92" t="inlineStr">
        <is>
          <t>OPTIONAL — texture garnish for Catboy Snot. Hydrate in water before service. If they are a hassle to find, skip them and zero Assumptions B150; the aloe pulp already carries the texture and nothing else in the model depends on this line.</t>
        </is>
      </c>
    </row>
    <row r="71" ht="15.75" customHeight="1" s="93">
      <c r="A71" s="146" t="inlineStr">
        <is>
          <t>☐</t>
        </is>
      </c>
      <c r="B71" s="99" t="inlineStr">
        <is>
          <t>Beverage dispensers, 10 L (with spigot)</t>
        </is>
      </c>
      <c r="C71" s="146" t="inlineStr">
        <is>
          <t>Hardware</t>
        </is>
      </c>
      <c r="D71" s="139" t="n">
        <v>2</v>
      </c>
      <c r="E71" s="146" t="inlineStr">
        <is>
          <t>each</t>
        </is>
      </c>
      <c r="F71" s="133">
        <f>D71*28</f>
        <v/>
      </c>
      <c r="G71" s="147" t="inlineStr">
        <is>
          <t>Amazon / Restaurant Supply</t>
        </is>
      </c>
      <c r="H71" s="92" t="inlineStr">
        <is>
          <t>~$28 ea (estimate). Wednesday's 3-jug Red Flag batch needs 20 L live on the bar. Set Qty to 0 if camp already owns them — the model had assumed a dispenser existed but never bought one.</t>
        </is>
      </c>
    </row>
    <row r="72" ht="15.75" customHeight="1" s="93">
      <c r="A72" s="146" t="inlineStr">
        <is>
          <t>☐</t>
        </is>
      </c>
      <c r="B72" s="99" t="inlineStr">
        <is>
          <t>Food-safe containers, 1 gallon (sealed)</t>
        </is>
      </c>
      <c r="C72" s="146" t="inlineStr">
        <is>
          <t>Hardware</t>
        </is>
      </c>
      <c r="D72" s="139" t="n">
        <v>2</v>
      </c>
      <c r="E72" s="146" t="inlineStr">
        <is>
          <t>each</t>
        </is>
      </c>
      <c r="F72" s="133">
        <f>D72*9</f>
        <v/>
      </c>
      <c r="G72" s="147" t="inlineStr">
        <is>
          <t>Amazon / Restaurant Supply</t>
        </is>
      </c>
      <c r="H72" s="92" t="inlineStr">
        <is>
          <t>~$9 ea (estimate). Holds the lemonade mixed from concentrate (2 sessions, not daily) and the Wednesday reserve batch. Set Qty to 0 if already owned.</t>
        </is>
      </c>
    </row>
    <row r="73" ht="15.75" customHeight="1" s="93">
      <c r="A73" s="158" t="inlineStr">
        <is>
          <t>☐</t>
        </is>
      </c>
      <c r="B73" s="159" t="inlineStr">
        <is>
          <t>Bar add-ons (tonic, soda water, ginger beer, bitters, Red Bull, NA beer, coconut water)</t>
        </is>
      </c>
      <c r="C73" s="116" t="inlineStr">
        <is>
          <t>Add-on</t>
        </is>
      </c>
      <c r="D73" s="149" t="n">
        <v>1</v>
      </c>
      <c r="E73" s="116" t="inlineStr">
        <is>
          <t>set</t>
        </is>
      </c>
      <c r="F73" s="160">
        <f>'Bar Add-Ons'!E18</f>
        <v/>
      </c>
      <c r="G73" s="151" t="inlineStr">
        <is>
          <t>BevMo / Costco / Grocery</t>
        </is>
      </c>
      <c r="H73" s="92" t="inlineStr">
        <is>
          <t>Itemized on the Bar Add-Ons tab</t>
        </is>
      </c>
    </row>
    <row r="74" ht="15.75" customHeight="1" s="93">
      <c r="A74" s="158" t="inlineStr">
        <is>
          <t>☐</t>
        </is>
      </c>
      <c r="B74" s="159" t="inlineStr">
        <is>
          <t>ESTIMATED TOTAL</t>
        </is>
      </c>
      <c r="F74" s="160">
        <f>SUM(F5:F73)</f>
        <v/>
      </c>
    </row>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1048571" ht="12.75" customHeight="1" s="93"/>
    <row r="1048572" ht="12.75" customHeight="1" s="93"/>
    <row r="1048573" ht="12.75" customHeight="1" s="93"/>
    <row r="1048574" ht="12.75" customHeight="1" s="93"/>
    <row r="1048575" ht="12.75" customHeight="1" s="93"/>
    <row r="1048576" ht="12.75" customHeight="1" s="93"/>
  </sheetData>
  <mergeCells count="2">
    <mergeCell ref="A3:G3"/>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296875" defaultRowHeight="15" zeroHeight="0" outlineLevelRow="0"/>
  <cols>
    <col width="4" customWidth="1" style="92" min="1" max="1"/>
    <col width="42" customWidth="1" style="92" min="2" max="2"/>
    <col width="8" customWidth="1" style="92" min="3" max="3"/>
    <col width="42" customWidth="1" style="92" min="4" max="4"/>
    <col width="30" customWidth="1" style="92" min="5" max="5"/>
    <col width="8.710000000000001" customWidth="1" style="92" min="6" max="26"/>
  </cols>
  <sheetData>
    <row r="1" ht="25.5" customHeight="1" s="93">
      <c r="A1" s="94" t="inlineStr">
        <is>
          <t>Supplies — Non-Consumable Bar Equipment</t>
        </is>
      </c>
    </row>
    <row r="3" ht="15" customHeight="1" s="93">
      <c r="A3" s="145" t="inlineStr">
        <is>
          <t>One-time gear, not consumed per-drink — pack it once, reuse every year. People bring their own cups, so no cups/straws here. Check off as you pack/buy.</t>
        </is>
      </c>
    </row>
    <row r="4" ht="15" customHeight="1" s="93">
      <c r="A4" s="96" t="inlineStr">
        <is>
          <t>✓</t>
        </is>
      </c>
      <c r="B4" s="96" t="inlineStr">
        <is>
          <t>Item</t>
        </is>
      </c>
      <c r="C4" s="96" t="inlineStr">
        <is>
          <t>Qty</t>
        </is>
      </c>
      <c r="D4" s="96" t="inlineStr">
        <is>
          <t>Used For</t>
        </is>
      </c>
      <c r="E4" s="96" t="inlineStr">
        <is>
          <t>Source / Location</t>
        </is>
      </c>
    </row>
    <row r="5" ht="15.75" customHeight="1" s="93">
      <c r="A5" s="146" t="inlineStr">
        <is>
          <t>☐</t>
        </is>
      </c>
      <c r="B5" s="99" t="inlineStr">
        <is>
          <t>Jigger (1oz/2oz)</t>
        </is>
      </c>
      <c r="C5" s="139" t="n">
        <v>3</v>
      </c>
      <c r="D5" s="147" t="inlineStr">
        <is>
          <t>Precise pours: syrups, pickle juice, fresh lemon juice on every built drink.</t>
        </is>
      </c>
      <c r="E5" s="147" t="inlineStr">
        <is>
          <t>Amazon / Restaurant Supply</t>
        </is>
      </c>
    </row>
    <row r="6" ht="15.75" customHeight="1" s="93">
      <c r="A6" s="146" t="inlineStr">
        <is>
          <t>☐</t>
        </is>
      </c>
      <c r="B6" s="99" t="inlineStr">
        <is>
          <t>Bar spoon (long)</t>
        </is>
      </c>
      <c r="C6" s="139" t="n">
        <v>3</v>
      </c>
      <c r="D6" s="147" t="inlineStr">
        <is>
          <t>Stir/layer all soda builds; dissolve sugar in the Kombucha Mule.</t>
        </is>
      </c>
      <c r="E6" s="147" t="inlineStr">
        <is>
          <t>Amazon / Restaurant Supply</t>
        </is>
      </c>
    </row>
    <row r="7" ht="15.75" customHeight="1" s="93">
      <c r="A7" s="146" t="inlineStr">
        <is>
          <t>☐</t>
        </is>
      </c>
      <c r="B7" s="99" t="inlineStr">
        <is>
          <t>Muddler</t>
        </is>
      </c>
      <c r="C7" s="139" t="n">
        <v>2</v>
      </c>
      <c r="D7" s="147" t="inlineStr">
        <is>
          <t>Watermelon Mint Lemonade (fresh mint); Kombucha Mule (lemon + sugar).</t>
        </is>
      </c>
      <c r="E7" s="147" t="inlineStr">
        <is>
          <t>Amazon / Restaurant Supply</t>
        </is>
      </c>
    </row>
    <row r="8" ht="15.75" customHeight="1" s="93">
      <c r="A8" s="146" t="inlineStr">
        <is>
          <t>☐</t>
        </is>
      </c>
      <c r="B8" s="99" t="inlineStr">
        <is>
          <t>Whisk</t>
        </is>
      </c>
      <c r="C8" s="139" t="n">
        <v>2</v>
      </c>
      <c r="D8" s="147" t="inlineStr">
        <is>
          <t>Whore-chata (rice-milk base + cinnamon/vanilla syrup); smooth out coconut cream before batching.</t>
        </is>
      </c>
      <c r="E8" s="147" t="inlineStr">
        <is>
          <t>Camp kitchen (check first)</t>
        </is>
      </c>
    </row>
    <row r="9" ht="15.75" customHeight="1" s="93">
      <c r="A9" s="146" t="inlineStr">
        <is>
          <t>☐</t>
        </is>
      </c>
      <c r="B9" s="99" t="inlineStr">
        <is>
          <t>Blender (12V or battery)</t>
        </is>
      </c>
      <c r="C9" s="139" t="n">
        <v>1</v>
      </c>
      <c r="D9" s="147" t="inlineStr">
        <is>
          <t>Blend watermelon (+mint) for the Monday fresca; froth coconut-cream builds.</t>
        </is>
      </c>
      <c r="E9" s="147" t="inlineStr">
        <is>
          <t>Amazon (playa-power 12V/battery)</t>
        </is>
      </c>
    </row>
    <row r="10" ht="15.75" customHeight="1" s="93">
      <c r="A10" s="146" t="inlineStr">
        <is>
          <t>☐</t>
        </is>
      </c>
      <c r="B10" s="99" t="inlineStr">
        <is>
          <t>Cocktail shaker tin (Boston shaker)</t>
        </is>
      </c>
      <c r="C10" s="139" t="n">
        <v>2</v>
      </c>
      <c r="D10" s="147" t="inlineStr">
        <is>
          <t>Quick-shake creamy builds (Shirley got Creamed, Orange Cream-sicle, The Dr's Cream/Peach Exam) without tying up the blender.</t>
        </is>
      </c>
      <c r="E10" s="147" t="inlineStr">
        <is>
          <t>Amazon / Restaurant Supply</t>
        </is>
      </c>
    </row>
    <row r="11" ht="15.75" customHeight="1" s="93">
      <c r="A11" s="146" t="inlineStr">
        <is>
          <t>☐</t>
        </is>
      </c>
      <c r="B11" s="99" t="inlineStr">
        <is>
          <t>Measuring cups (1-4 cup set)</t>
        </is>
      </c>
      <c r="C11" s="139" t="n">
        <v>2</v>
      </c>
      <c r="D11" s="147" t="inlineStr">
        <is>
          <t>Batch horchata base, lemonade, and cinnamon/vanilla syrup mix ahead of rush.</t>
        </is>
      </c>
      <c r="E11" s="147" t="inlineStr">
        <is>
          <t>Camp kitchen (check first)</t>
        </is>
      </c>
    </row>
    <row r="12" ht="15.75" customHeight="1" s="93">
      <c r="A12" s="146" t="inlineStr">
        <is>
          <t>☐</t>
        </is>
      </c>
      <c r="B12" s="99" t="inlineStr">
        <is>
          <t>Citrus juicer/reamer</t>
        </is>
      </c>
      <c r="C12" s="139" t="n">
        <v>1</v>
      </c>
      <c r="D12" s="147" t="inlineStr">
        <is>
          <t>Fresh lemon juice for the Kombucha Mule; lime squeezes for Tang Dynasty.</t>
        </is>
      </c>
      <c r="E12" s="147" t="inlineStr">
        <is>
          <t>Amazon / Restaurant Supply</t>
        </is>
      </c>
    </row>
    <row r="13" ht="15.75" customHeight="1" s="93">
      <c r="A13" s="146" t="inlineStr">
        <is>
          <t>☐</t>
        </is>
      </c>
      <c r="B13" s="99" t="inlineStr">
        <is>
          <t>Cutting board</t>
        </is>
      </c>
      <c r="C13" s="139" t="n">
        <v>2</v>
      </c>
      <c r="D13" s="147" t="inlineStr">
        <is>
          <t>Garnish prep: citrus wheels, apple/pear, cucumber, candied ginger, mint sprigs.</t>
        </is>
      </c>
      <c r="E13" s="147" t="inlineStr">
        <is>
          <t>Camp kitchen (check first)</t>
        </is>
      </c>
    </row>
    <row r="14" ht="15.75" customHeight="1" s="93">
      <c r="A14" s="146" t="inlineStr">
        <is>
          <t>☐</t>
        </is>
      </c>
      <c r="B14" s="99" t="inlineStr">
        <is>
          <t>Paring knife</t>
        </is>
      </c>
      <c r="C14" s="139" t="n">
        <v>2</v>
      </c>
      <c r="D14" s="147" t="inlineStr">
        <is>
          <t>Same garnish prep as cutting board.</t>
        </is>
      </c>
      <c r="E14" s="147" t="inlineStr">
        <is>
          <t>Camp kitchen (check first)</t>
        </is>
      </c>
    </row>
    <row r="15" ht="15.75" customHeight="1" s="93">
      <c r="A15" s="146" t="inlineStr">
        <is>
          <t>☐</t>
        </is>
      </c>
      <c r="B15" s="99" t="inlineStr">
        <is>
          <t>Fine mesh strainer</t>
        </is>
      </c>
      <c r="C15" s="139" t="n">
        <v>1</v>
      </c>
      <c r="D15" s="147" t="inlineStr">
        <is>
          <t>Strain muddled mint/pulp when pouring Watermelon Mint Lemonade and Kombucha Mule.</t>
        </is>
      </c>
      <c r="E15" s="147" t="inlineStr">
        <is>
          <t>Amazon / Restaurant Supply</t>
        </is>
      </c>
    </row>
    <row r="16" ht="15.75" customHeight="1" s="93">
      <c r="A16" s="146" t="inlineStr">
        <is>
          <t>☐</t>
        </is>
      </c>
      <c r="B16" s="99" t="inlineStr">
        <is>
          <t>Rimming plate / shallow dish</t>
        </is>
      </c>
      <c r="C16" s="139" t="n">
        <v>1</v>
      </c>
      <c r="D16" s="147" t="inlineStr">
        <is>
          <t>Tajín rim for A Ginger's Pickle.</t>
        </is>
      </c>
      <c r="E16" s="147" t="inlineStr">
        <is>
          <t>Amazon / Restaurant Supply</t>
        </is>
      </c>
    </row>
    <row r="17" ht="15.75" customHeight="1" s="93">
      <c r="A17" s="146" t="inlineStr">
        <is>
          <t>☐</t>
        </is>
      </c>
      <c r="B17" s="99" t="inlineStr">
        <is>
          <t>Squeeze bottles (set of 6)</t>
        </is>
      </c>
      <c r="C17" s="139" t="n">
        <v>1</v>
      </c>
      <c r="D17" s="147" t="inlineStr">
        <is>
          <t>Behind-bar syrup + pickle juice control, refilled from stock bottles.</t>
        </is>
      </c>
      <c r="E17" s="147" t="inlineStr">
        <is>
          <t>Amazon / Restaurant Supply</t>
        </is>
      </c>
    </row>
    <row r="18" ht="15.75" customHeight="1" s="93">
      <c r="A18" s="146" t="inlineStr">
        <is>
          <t>☐</t>
        </is>
      </c>
      <c r="B18" s="99" t="inlineStr">
        <is>
          <t>Ice scoop</t>
        </is>
      </c>
      <c r="C18" s="139" t="n">
        <v>2</v>
      </c>
      <c r="D18" s="147" t="inlineStr">
        <is>
          <t>Sanitary ice service for every drink.</t>
        </is>
      </c>
      <c r="E18" s="147" t="inlineStr">
        <is>
          <t>Amazon / Restaurant Supply</t>
        </is>
      </c>
    </row>
    <row r="19" ht="15.75" customHeight="1" s="93">
      <c r="A19" s="146" t="inlineStr">
        <is>
          <t>☐</t>
        </is>
      </c>
      <c r="B19" s="99" t="inlineStr">
        <is>
          <t>Cooler / ice bin</t>
        </is>
      </c>
      <c r="C19" s="139" t="n">
        <v>2</v>
      </c>
      <c r="D19" s="147" t="inlineStr">
        <is>
          <t>Holds ice; keeps batched jugs and squeeze bottles cold during service.</t>
        </is>
      </c>
      <c r="E19" s="147" t="inlineStr">
        <is>
          <t>Camp kitchen (check first)</t>
        </is>
      </c>
    </row>
    <row r="20" ht="15.75" customHeight="1" s="93">
      <c r="A20" s="146" t="inlineStr">
        <is>
          <t>☐</t>
        </is>
      </c>
      <c r="B20" s="99" t="inlineStr">
        <is>
          <t>Bar mat / spill mat</t>
        </is>
      </c>
      <c r="C20" s="139" t="n">
        <v>2</v>
      </c>
      <c r="D20" s="147" t="inlineStr">
        <is>
          <t>Catches drips at the build station.</t>
        </is>
      </c>
      <c r="E20" s="147" t="inlineStr">
        <is>
          <t>Camp kitchen (check first)</t>
        </is>
      </c>
    </row>
    <row r="21" ht="15.75" customHeight="1" s="93">
      <c r="A21" s="146" t="inlineStr">
        <is>
          <t>☐</t>
        </is>
      </c>
      <c r="B21" s="99" t="inlineStr">
        <is>
          <t>Garnish caddy (multi-compartment)</t>
        </is>
      </c>
      <c r="C21" s="139" t="n">
        <v>1</v>
      </c>
      <c r="D21" s="147" t="inlineStr">
        <is>
          <t>Holds prepped citrus wheels, mint, cinnamon, Tajín, pickle spears streamside.</t>
        </is>
      </c>
      <c r="E21" s="147" t="inlineStr">
        <is>
          <t>Amazon / Restaurant Supply</t>
        </is>
      </c>
    </row>
    <row r="22" ht="15.75" customHeight="1" s="93">
      <c r="A22" s="146" t="inlineStr">
        <is>
          <t>☐</t>
        </is>
      </c>
      <c r="B22" s="99" t="inlineStr">
        <is>
          <t>Bottle opener</t>
        </is>
      </c>
      <c r="C22" s="139" t="n">
        <v>2</v>
      </c>
      <c r="D22" s="147" t="inlineStr">
        <is>
          <t>Ginger beer / bottled mixers for the Kombucha Mule and keg garnishes.</t>
        </is>
      </c>
      <c r="E22" s="147" t="inlineStr">
        <is>
          <t>Amazon / Restaurant Supply</t>
        </is>
      </c>
    </row>
    <row r="23" ht="15.75" customHeight="1" s="93">
      <c r="A23" s="146" t="inlineStr">
        <is>
          <t>☐</t>
        </is>
      </c>
      <c r="B23" s="99" t="inlineStr">
        <is>
          <t>Beverage dispenser, 10 L (with spigot)</t>
        </is>
      </c>
      <c r="C23" s="139" t="n">
        <v>2</v>
      </c>
      <c r="D23" s="147" t="inlineStr">
        <is>
          <t>The nightly jug special (Assumptions B68 sizes every jug at 10 L). TWO are needed for Wednesday's 3-jug Red Flag batch — 20 L live on the bar, refilled as they drain.</t>
        </is>
      </c>
      <c r="E23" s="147" t="inlineStr">
        <is>
          <t>Amazon / Restaurant Supply</t>
        </is>
      </c>
    </row>
    <row r="24" ht="15.75" customHeight="1" s="93">
      <c r="A24" s="146" t="inlineStr">
        <is>
          <t>☐</t>
        </is>
      </c>
      <c r="B24" s="99" t="inlineStr">
        <is>
          <t>Food-safe container, 1 gallon (sealed)</t>
        </is>
      </c>
      <c r="C24" s="139" t="n">
        <v>2</v>
      </c>
      <c r="D24" s="147" t="inlineStr">
        <is>
          <t>Mixing and holding lemonade from concentrate — ~3.4 gal for the week (Watermelon Sugar High + Tue Smoke Test + Sat Blue Screen), batched in two sessions instead of daily. Doubles as reserve capacity for the Wednesday 3-jug batch.</t>
        </is>
      </c>
      <c r="E24" s="147" t="inlineStr">
        <is>
          <t>Amazon / Restaurant Supply</t>
        </is>
      </c>
    </row>
    <row r="25" ht="15.75" customHeight="1" s="93"/>
    <row r="26" ht="15.75" customHeight="1" s="93"/>
    <row r="27" ht="15.75" customHeight="1" s="93"/>
    <row r="28" ht="15.75" customHeight="1" s="93"/>
    <row r="29" ht="15.75" customHeight="1" s="93"/>
    <row r="30" ht="15.75" customHeight="1" s="93"/>
    <row r="31" ht="15.75" customHeight="1" s="93"/>
    <row r="32" ht="15.75" customHeight="1" s="93"/>
    <row r="33" ht="15.75" customHeight="1" s="93"/>
    <row r="34" ht="15.75" customHeight="1" s="93"/>
    <row r="35" ht="15.75" customHeight="1" s="93"/>
    <row r="36" ht="15.75" customHeight="1" s="93"/>
    <row r="37" ht="15.75" customHeight="1" s="93"/>
    <row r="38" ht="15.75" customHeight="1" s="93"/>
    <row r="39" ht="15.75" customHeight="1" s="93"/>
    <row r="40" ht="15.75" customHeight="1" s="93"/>
    <row r="41" ht="15.75" customHeight="1" s="93"/>
    <row r="42" ht="15.75" customHeight="1" s="93"/>
    <row r="43" ht="15.75" customHeight="1" s="93"/>
    <row r="44" ht="15.75" customHeight="1" s="93"/>
    <row r="45" ht="15.75" customHeight="1" s="93"/>
    <row r="46" ht="15.75" customHeight="1" s="93"/>
    <row r="47" ht="15.75" customHeight="1" s="93"/>
    <row r="48" ht="15.75" customHeight="1" s="93"/>
    <row r="49" ht="15.75" customHeight="1" s="93"/>
    <row r="50" ht="15.75" customHeight="1" s="93"/>
    <row r="51" ht="15.75" customHeight="1" s="93"/>
    <row r="52" ht="15.75" customHeight="1" s="93"/>
    <row r="53" ht="15.75" customHeight="1" s="93"/>
    <row r="54" ht="15.75" customHeight="1" s="93"/>
    <row r="55" ht="15.75" customHeight="1" s="93"/>
    <row r="56" ht="15.75" customHeight="1" s="93"/>
    <row r="57" ht="15.75" customHeight="1" s="93"/>
    <row r="58" ht="15.75" customHeight="1" s="93"/>
    <row r="59" ht="15.75" customHeight="1" s="93"/>
    <row r="60" ht="15.75" customHeight="1" s="93"/>
    <row r="61" ht="15.75" customHeight="1" s="93"/>
    <row r="62" ht="15.75" customHeight="1" s="93"/>
    <row r="63" ht="15.75" customHeight="1" s="93"/>
    <row r="64" ht="15.75" customHeight="1" s="93"/>
    <row r="65" ht="15.75" customHeight="1" s="93"/>
    <row r="66" ht="15.75" customHeight="1" s="93"/>
    <row r="67" ht="15.75" customHeight="1" s="93"/>
    <row r="68" ht="15.75" customHeight="1" s="93"/>
    <row r="69" ht="15.75" customHeight="1" s="93"/>
    <row r="70" ht="15.75" customHeight="1" s="93"/>
    <row r="71" ht="15.75" customHeight="1" s="93"/>
    <row r="72" ht="15.75" customHeight="1" s="93"/>
    <row r="73" ht="15.75" customHeight="1" s="93"/>
    <row r="74" ht="15.75" customHeight="1" s="93"/>
    <row r="75" ht="15.75" customHeight="1" s="93"/>
    <row r="76" ht="15.75" customHeight="1" s="93"/>
    <row r="77" ht="15.75" customHeight="1" s="93"/>
    <row r="78" ht="15.75" customHeight="1" s="93"/>
    <row r="79" ht="15.75" customHeight="1" s="93"/>
    <row r="80" ht="15.75" customHeight="1" s="93"/>
    <row r="81" ht="15.75" customHeight="1" s="93"/>
    <row r="82" ht="15.75" customHeight="1" s="93"/>
    <row r="83" ht="15.75" customHeight="1" s="93"/>
    <row r="84" ht="15.75" customHeight="1" s="93"/>
    <row r="85" ht="15.75" customHeight="1" s="93"/>
    <row r="86" ht="15.75" customHeight="1" s="93"/>
    <row r="87" ht="15.75" customHeight="1" s="93"/>
    <row r="88" ht="15.75" customHeight="1" s="93"/>
    <row r="89" ht="15.75" customHeight="1" s="93"/>
    <row r="90" ht="15.75" customHeight="1" s="93"/>
    <row r="91" ht="15.75" customHeight="1" s="93"/>
    <row r="92" ht="15.75" customHeight="1" s="93"/>
    <row r="93" ht="15.75" customHeight="1" s="93"/>
    <row r="94" ht="15.75" customHeight="1" s="93"/>
    <row r="95" ht="15.75" customHeight="1" s="93"/>
    <row r="96" ht="15.75" customHeight="1" s="93"/>
    <row r="97" ht="15.75" customHeight="1" s="93"/>
    <row r="98" ht="15.75" customHeight="1" s="93"/>
    <row r="99" ht="15.75" customHeight="1" s="93"/>
    <row r="100" ht="15.75" customHeight="1" s="93"/>
    <row r="101" ht="15.75" customHeight="1" s="93"/>
    <row r="102" ht="15.75" customHeight="1" s="93"/>
    <row r="103" ht="15.75" customHeight="1" s="93"/>
    <row r="104" ht="15.75" customHeight="1" s="93"/>
    <row r="105" ht="15.75" customHeight="1" s="93"/>
    <row r="106" ht="15.75" customHeight="1" s="93"/>
    <row r="107" ht="15.75" customHeight="1" s="93"/>
    <row r="108" ht="15.75" customHeight="1" s="93"/>
    <row r="109" ht="15.75" customHeight="1" s="93"/>
    <row r="110" ht="15.75" customHeight="1" s="93"/>
    <row r="111" ht="15.75" customHeight="1" s="93"/>
    <row r="112" ht="15.75" customHeight="1" s="93"/>
    <row r="113" ht="15.75" customHeight="1" s="93"/>
    <row r="114" ht="15.75" customHeight="1" s="93"/>
    <row r="115" ht="15.75" customHeight="1" s="93"/>
    <row r="116" ht="15.75" customHeight="1" s="93"/>
    <row r="117" ht="15.75" customHeight="1" s="93"/>
    <row r="118" ht="15.75" customHeight="1" s="93"/>
    <row r="119" ht="15.75" customHeight="1" s="93"/>
    <row r="120" ht="15.75" customHeight="1" s="93"/>
    <row r="121" ht="15.75" customHeight="1" s="93"/>
    <row r="122" ht="15.75" customHeight="1" s="93"/>
    <row r="123" ht="15.75" customHeight="1" s="93"/>
    <row r="124" ht="15.75" customHeight="1" s="93"/>
    <row r="125" ht="15.75" customHeight="1" s="93"/>
    <row r="126" ht="15.75" customHeight="1" s="93"/>
    <row r="127" ht="15.75" customHeight="1" s="93"/>
    <row r="128" ht="15.75" customHeight="1" s="93"/>
    <row r="129" ht="15.75" customHeight="1" s="93"/>
    <row r="130" ht="15.75" customHeight="1" s="93"/>
    <row r="131" ht="15.75" customHeight="1" s="93"/>
    <row r="132" ht="15.75" customHeight="1" s="93"/>
    <row r="133" ht="15.75" customHeight="1" s="93"/>
    <row r="134" ht="15.75" customHeight="1" s="93"/>
    <row r="135" ht="15.75" customHeight="1" s="93"/>
    <row r="136" ht="15.75" customHeight="1" s="93"/>
    <row r="137" ht="15.75" customHeight="1" s="93"/>
    <row r="138" ht="15.75" customHeight="1" s="93"/>
    <row r="139" ht="15.75" customHeight="1" s="93"/>
    <row r="140" ht="15.75" customHeight="1" s="93"/>
    <row r="141" ht="15.75" customHeight="1" s="93"/>
    <row r="142" ht="15.75" customHeight="1" s="93"/>
    <row r="143" ht="15.75" customHeight="1" s="93"/>
    <row r="144" ht="15.75" customHeight="1" s="93"/>
    <row r="145" ht="15.75" customHeight="1" s="93"/>
    <row r="146" ht="15.75" customHeight="1" s="93"/>
    <row r="147" ht="15.75" customHeight="1" s="93"/>
    <row r="148" ht="15.75" customHeight="1" s="93"/>
    <row r="149" ht="15.75" customHeight="1" s="93"/>
    <row r="150" ht="15.75" customHeight="1" s="93"/>
    <row r="151" ht="15.75" customHeight="1" s="93"/>
    <row r="152" ht="15.75" customHeight="1" s="93"/>
    <row r="153" ht="15.75" customHeight="1" s="93"/>
    <row r="154" ht="15.75" customHeight="1" s="93"/>
    <row r="155" ht="15.75" customHeight="1" s="93"/>
    <row r="156" ht="15.75" customHeight="1" s="93"/>
    <row r="157" ht="15.75" customHeight="1" s="93"/>
    <row r="158" ht="15.75" customHeight="1" s="93"/>
    <row r="159" ht="15.75" customHeight="1" s="93"/>
    <row r="160" ht="15.75" customHeight="1" s="93"/>
    <row r="161" ht="15.75" customHeight="1" s="93"/>
    <row r="162" ht="15.75" customHeight="1" s="93"/>
    <row r="163" ht="15.75" customHeight="1" s="93"/>
    <row r="164" ht="15.75" customHeight="1" s="93"/>
    <row r="165" ht="15.75" customHeight="1" s="93"/>
    <row r="166" ht="15.75" customHeight="1" s="93"/>
    <row r="167" ht="15.75" customHeight="1" s="93"/>
    <row r="168" ht="15.75" customHeight="1" s="93"/>
    <row r="169" ht="15.75" customHeight="1" s="93"/>
    <row r="170" ht="15.75" customHeight="1" s="93"/>
    <row r="171" ht="15.75" customHeight="1" s="93"/>
    <row r="172" ht="15.75" customHeight="1" s="93"/>
    <row r="173" ht="15.75" customHeight="1" s="93"/>
    <row r="174" ht="15.75" customHeight="1" s="93"/>
    <row r="175" ht="15.75" customHeight="1" s="93"/>
    <row r="176" ht="15.75" customHeight="1" s="93"/>
    <row r="177" ht="15.75" customHeight="1" s="93"/>
    <row r="178" ht="15.75" customHeight="1" s="93"/>
    <row r="179" ht="15.75" customHeight="1" s="93"/>
    <row r="180" ht="15.75" customHeight="1" s="93"/>
    <row r="181" ht="15.75" customHeight="1" s="93"/>
    <row r="182" ht="15.75" customHeight="1" s="93"/>
    <row r="183" ht="15.75" customHeight="1" s="93"/>
    <row r="184" ht="15.75" customHeight="1" s="93"/>
    <row r="185" ht="15.75" customHeight="1" s="93"/>
    <row r="186" ht="15.75" customHeight="1" s="93"/>
    <row r="187" ht="15.75" customHeight="1" s="93"/>
    <row r="188" ht="15.75" customHeight="1" s="93"/>
    <row r="189" ht="15.75" customHeight="1" s="93"/>
    <row r="190" ht="15.75" customHeight="1" s="93"/>
    <row r="191" ht="15.75" customHeight="1" s="93"/>
    <row r="192" ht="15.75" customHeight="1" s="93"/>
    <row r="193" ht="15.75" customHeight="1" s="93"/>
    <row r="194" ht="15.75" customHeight="1" s="93"/>
    <row r="195" ht="15.75" customHeight="1" s="93"/>
    <row r="196" ht="15.75" customHeight="1" s="93"/>
    <row r="197" ht="15.75" customHeight="1" s="93"/>
    <row r="198" ht="15.75" customHeight="1" s="93"/>
    <row r="199" ht="15.75" customHeight="1" s="93"/>
    <row r="200" ht="15.75" customHeight="1" s="93"/>
    <row r="201" ht="15.75" customHeight="1" s="93"/>
    <row r="202" ht="15.75" customHeight="1" s="93"/>
    <row r="203" ht="15.75" customHeight="1" s="93"/>
    <row r="204" ht="15.75" customHeight="1" s="93"/>
    <row r="205" ht="15.75" customHeight="1" s="93"/>
    <row r="206" ht="15.75" customHeight="1" s="93"/>
    <row r="207" ht="15.75" customHeight="1" s="93"/>
    <row r="208" ht="15.75" customHeight="1" s="93"/>
    <row r="209" ht="15.75" customHeight="1" s="93"/>
    <row r="210" ht="15.75" customHeight="1" s="93"/>
    <row r="211" ht="15.75" customHeight="1" s="93"/>
    <row r="212" ht="15.75" customHeight="1" s="93"/>
    <row r="213" ht="15.75" customHeight="1" s="93"/>
    <row r="214" ht="15.75" customHeight="1" s="93"/>
    <row r="215" ht="15.75" customHeight="1" s="93"/>
    <row r="216" ht="15.75" customHeight="1" s="93"/>
    <row r="217" ht="15.75" customHeight="1" s="93"/>
    <row r="218" ht="15.75" customHeight="1" s="93"/>
    <row r="219" ht="15.75" customHeight="1" s="93"/>
    <row r="220" ht="15.75" customHeight="1" s="93"/>
    <row r="221" ht="15.75" customHeight="1" s="93"/>
    <row r="222" ht="15.75" customHeight="1" s="93"/>
    <row r="223" ht="15.75" customHeight="1" s="93"/>
    <row r="224" ht="15.75" customHeight="1" s="93"/>
    <row r="225" ht="15.75" customHeight="1" s="93"/>
    <row r="226" ht="15.75" customHeight="1" s="93"/>
    <row r="227" ht="15.75" customHeight="1" s="93"/>
    <row r="228" ht="15.75" customHeight="1" s="93"/>
    <row r="229" ht="15.75" customHeight="1" s="93"/>
    <row r="230" ht="15.75" customHeight="1" s="93"/>
    <row r="231" ht="15.75" customHeight="1" s="93"/>
    <row r="232" ht="15.75" customHeight="1" s="93"/>
    <row r="233" ht="15.75" customHeight="1" s="93"/>
    <row r="234" ht="15.75" customHeight="1" s="93"/>
    <row r="235" ht="15.75" customHeight="1" s="93"/>
    <row r="236" ht="15.75" customHeight="1" s="93"/>
    <row r="237" ht="15.75" customHeight="1" s="93"/>
    <row r="238" ht="15.75" customHeight="1" s="93"/>
    <row r="239" ht="15.75" customHeight="1" s="93"/>
    <row r="240" ht="15.75" customHeight="1" s="93"/>
    <row r="241" ht="15.75" customHeight="1" s="93"/>
    <row r="242" ht="15.75" customHeight="1" s="93"/>
    <row r="243" ht="15.75" customHeight="1" s="93"/>
    <row r="244" ht="15.75" customHeight="1" s="93"/>
    <row r="245" ht="15.75" customHeight="1" s="93"/>
    <row r="246" ht="15.75" customHeight="1" s="93"/>
    <row r="247" ht="15.75" customHeight="1" s="93"/>
    <row r="248" ht="15.75" customHeight="1" s="93"/>
    <row r="249" ht="15.75" customHeight="1" s="93"/>
    <row r="250" ht="15.75" customHeight="1" s="93"/>
    <row r="251" ht="15.75" customHeight="1" s="93"/>
    <row r="252" ht="15.75" customHeight="1" s="93"/>
    <row r="253" ht="15.75" customHeight="1" s="93"/>
    <row r="254" ht="15.75" customHeight="1" s="93"/>
    <row r="255" ht="15.75" customHeight="1" s="93"/>
    <row r="256" ht="15.75" customHeight="1" s="93"/>
    <row r="257" ht="15.75" customHeight="1" s="93"/>
    <row r="258" ht="15.75" customHeight="1" s="93"/>
    <row r="259" ht="15.75" customHeight="1" s="93"/>
    <row r="260" ht="15.75" customHeight="1" s="93"/>
    <row r="261" ht="15.75" customHeight="1" s="93"/>
    <row r="262" ht="15.75" customHeight="1" s="93"/>
    <row r="263" ht="15.75" customHeight="1" s="93"/>
    <row r="264" ht="15.75" customHeight="1" s="93"/>
    <row r="265" ht="15.75" customHeight="1" s="93"/>
    <row r="266" ht="15.75" customHeight="1" s="93"/>
    <row r="267" ht="15.75" customHeight="1" s="93"/>
    <row r="268" ht="15.75" customHeight="1" s="93"/>
    <row r="269" ht="15.75" customHeight="1" s="93"/>
    <row r="270" ht="15.75" customHeight="1" s="93"/>
    <row r="271" ht="15.75" customHeight="1" s="93"/>
    <row r="272" ht="15.75" customHeight="1" s="93"/>
    <row r="273" ht="15.75" customHeight="1" s="93"/>
    <row r="274" ht="15.75" customHeight="1" s="93"/>
    <row r="275" ht="15.75" customHeight="1" s="93"/>
    <row r="276" ht="15.75" customHeight="1" s="93"/>
    <row r="277" ht="15.75" customHeight="1" s="93"/>
    <row r="278" ht="15.75" customHeight="1" s="93"/>
    <row r="279" ht="15.75" customHeight="1" s="93"/>
    <row r="280" ht="15.75" customHeight="1" s="93"/>
    <row r="281" ht="15.75" customHeight="1" s="93"/>
    <row r="282" ht="15.75" customHeight="1" s="93"/>
    <row r="283" ht="15.75" customHeight="1" s="93"/>
    <row r="284" ht="15.75" customHeight="1" s="93"/>
    <row r="285" ht="15.75" customHeight="1" s="93"/>
    <row r="286" ht="15.75" customHeight="1" s="93"/>
    <row r="287" ht="15.75" customHeight="1" s="93"/>
    <row r="288" ht="15.75" customHeight="1" s="93"/>
    <row r="289" ht="15.75" customHeight="1" s="93"/>
    <row r="290" ht="15.75" customHeight="1" s="93"/>
    <row r="291" ht="15.75" customHeight="1" s="93"/>
    <row r="292" ht="15.75" customHeight="1" s="93"/>
    <row r="293" ht="15.75" customHeight="1" s="93"/>
    <row r="294" ht="15.75" customHeight="1" s="93"/>
    <row r="295" ht="15.75" customHeight="1" s="93"/>
    <row r="296" ht="15.75" customHeight="1" s="93"/>
    <row r="297" ht="15.75" customHeight="1" s="93"/>
    <row r="298" ht="15.75" customHeight="1" s="93"/>
    <row r="299" ht="15.75" customHeight="1" s="93"/>
    <row r="300" ht="15.75" customHeight="1" s="93"/>
    <row r="301" ht="15.75" customHeight="1" s="93"/>
    <row r="302" ht="15.75" customHeight="1" s="93"/>
    <row r="303" ht="15.75" customHeight="1" s="93"/>
    <row r="304" ht="15.75" customHeight="1" s="93"/>
    <row r="305" ht="15.75" customHeight="1" s="93"/>
    <row r="306" ht="15.75" customHeight="1" s="93"/>
    <row r="307" ht="15.75" customHeight="1" s="93"/>
    <row r="308" ht="15.75" customHeight="1" s="93"/>
    <row r="309" ht="15.75" customHeight="1" s="93"/>
    <row r="310" ht="15.75" customHeight="1" s="93"/>
    <row r="311" ht="15.75" customHeight="1" s="93"/>
    <row r="312" ht="15.75" customHeight="1" s="93"/>
    <row r="313" ht="15.75" customHeight="1" s="93"/>
    <row r="314" ht="15.75" customHeight="1" s="93"/>
    <row r="315" ht="15.75" customHeight="1" s="93"/>
    <row r="316" ht="15.75" customHeight="1" s="93"/>
    <row r="317" ht="15.75" customHeight="1" s="93"/>
    <row r="318" ht="15.75" customHeight="1" s="93"/>
    <row r="319" ht="15.75" customHeight="1" s="93"/>
    <row r="320" ht="15.75" customHeight="1" s="93"/>
    <row r="321" ht="15.75" customHeight="1" s="93"/>
    <row r="322" ht="15.75" customHeight="1" s="93"/>
    <row r="323" ht="15.75" customHeight="1" s="93"/>
    <row r="324" ht="15.75" customHeight="1" s="93"/>
    <row r="325" ht="15.75" customHeight="1" s="93"/>
    <row r="326" ht="15.75" customHeight="1" s="93"/>
    <row r="327" ht="15.75" customHeight="1" s="93"/>
    <row r="328" ht="15.75" customHeight="1" s="93"/>
    <row r="329" ht="15.75" customHeight="1" s="93"/>
    <row r="330" ht="15.75" customHeight="1" s="93"/>
    <row r="331" ht="15.75" customHeight="1" s="93"/>
    <row r="332" ht="15.75" customHeight="1" s="93"/>
    <row r="333" ht="15.75" customHeight="1" s="93"/>
    <row r="334" ht="15.75" customHeight="1" s="93"/>
    <row r="335" ht="15.75" customHeight="1" s="93"/>
    <row r="336" ht="15.75" customHeight="1" s="93"/>
    <row r="337" ht="15.75" customHeight="1" s="93"/>
    <row r="338" ht="15.75" customHeight="1" s="93"/>
    <row r="339" ht="15.75" customHeight="1" s="93"/>
    <row r="340" ht="15.75" customHeight="1" s="93"/>
    <row r="341" ht="15.75" customHeight="1" s="93"/>
    <row r="342" ht="15.75" customHeight="1" s="93"/>
    <row r="343" ht="15.75" customHeight="1" s="93"/>
    <row r="344" ht="15.75" customHeight="1" s="93"/>
    <row r="345" ht="15.75" customHeight="1" s="93"/>
    <row r="346" ht="15.75" customHeight="1" s="93"/>
    <row r="347" ht="15.75" customHeight="1" s="93"/>
    <row r="348" ht="15.75" customHeight="1" s="93"/>
    <row r="349" ht="15.75" customHeight="1" s="93"/>
    <row r="350" ht="15.75" customHeight="1" s="93"/>
    <row r="351" ht="15.75" customHeight="1" s="93"/>
    <row r="352" ht="15.75" customHeight="1" s="93"/>
    <row r="353" ht="15.75" customHeight="1" s="93"/>
    <row r="354" ht="15.75" customHeight="1" s="93"/>
    <row r="355" ht="15.75" customHeight="1" s="93"/>
    <row r="356" ht="15.75" customHeight="1" s="93"/>
    <row r="357" ht="15.75" customHeight="1" s="93"/>
    <row r="358" ht="15.75" customHeight="1" s="93"/>
    <row r="359" ht="15.75" customHeight="1" s="93"/>
    <row r="360" ht="15.75" customHeight="1" s="93"/>
    <row r="361" ht="15.75" customHeight="1" s="93"/>
    <row r="362" ht="15.75" customHeight="1" s="93"/>
    <row r="363" ht="15.75" customHeight="1" s="93"/>
    <row r="364" ht="15.75" customHeight="1" s="93"/>
    <row r="365" ht="15.75" customHeight="1" s="93"/>
    <row r="366" ht="15.75" customHeight="1" s="93"/>
    <row r="367" ht="15.75" customHeight="1" s="93"/>
    <row r="368" ht="15.75" customHeight="1" s="93"/>
    <row r="369" ht="15.75" customHeight="1" s="93"/>
    <row r="370" ht="15.75" customHeight="1" s="93"/>
    <row r="371" ht="15.75" customHeight="1" s="93"/>
    <row r="372" ht="15.75" customHeight="1" s="93"/>
    <row r="373" ht="15.75" customHeight="1" s="93"/>
    <row r="374" ht="15.75" customHeight="1" s="93"/>
    <row r="375" ht="15.75" customHeight="1" s="93"/>
    <row r="376" ht="15.75" customHeight="1" s="93"/>
    <row r="377" ht="15.75" customHeight="1" s="93"/>
    <row r="378" ht="15.75" customHeight="1" s="93"/>
    <row r="379" ht="15.75" customHeight="1" s="93"/>
    <row r="380" ht="15.75" customHeight="1" s="93"/>
    <row r="381" ht="15.75" customHeight="1" s="93"/>
    <row r="382" ht="15.75" customHeight="1" s="93"/>
    <row r="383" ht="15.75" customHeight="1" s="93"/>
    <row r="384" ht="15.75" customHeight="1" s="93"/>
    <row r="385" ht="15.75" customHeight="1" s="93"/>
    <row r="386" ht="15.75" customHeight="1" s="93"/>
    <row r="387" ht="15.75" customHeight="1" s="93"/>
    <row r="388" ht="15.75" customHeight="1" s="93"/>
    <row r="389" ht="15.75" customHeight="1" s="93"/>
    <row r="390" ht="15.75" customHeight="1" s="93"/>
    <row r="391" ht="15.75" customHeight="1" s="93"/>
    <row r="392" ht="15.75" customHeight="1" s="93"/>
    <row r="393" ht="15.75" customHeight="1" s="93"/>
    <row r="394" ht="15.75" customHeight="1" s="93"/>
    <row r="395" ht="15.75" customHeight="1" s="93"/>
    <row r="396" ht="15.75" customHeight="1" s="93"/>
    <row r="397" ht="15.75" customHeight="1" s="93"/>
    <row r="398" ht="15.75" customHeight="1" s="93"/>
    <row r="399" ht="15.75" customHeight="1" s="93"/>
    <row r="400" ht="15.75" customHeight="1" s="93"/>
    <row r="401" ht="15.75" customHeight="1" s="93"/>
    <row r="402" ht="15.75" customHeight="1" s="93"/>
    <row r="403" ht="15.75" customHeight="1" s="93"/>
    <row r="404" ht="15.75" customHeight="1" s="93"/>
    <row r="405" ht="15.75" customHeight="1" s="93"/>
    <row r="406" ht="15.75" customHeight="1" s="93"/>
    <row r="407" ht="15.75" customHeight="1" s="93"/>
    <row r="408" ht="15.75" customHeight="1" s="93"/>
    <row r="409" ht="15.75" customHeight="1" s="93"/>
    <row r="410" ht="15.75" customHeight="1" s="93"/>
    <row r="411" ht="15.75" customHeight="1" s="93"/>
    <row r="412" ht="15.75" customHeight="1" s="93"/>
    <row r="413" ht="15.75" customHeight="1" s="93"/>
    <row r="414" ht="15.75" customHeight="1" s="93"/>
    <row r="415" ht="15.75" customHeight="1" s="93"/>
    <row r="416" ht="15.75" customHeight="1" s="93"/>
    <row r="417" ht="15.75" customHeight="1" s="93"/>
    <row r="418" ht="15.75" customHeight="1" s="93"/>
    <row r="419" ht="15.75" customHeight="1" s="93"/>
    <row r="420" ht="15.75" customHeight="1" s="93"/>
    <row r="421" ht="15.75" customHeight="1" s="93"/>
    <row r="422" ht="15.75" customHeight="1" s="93"/>
    <row r="423" ht="15.75" customHeight="1" s="93"/>
    <row r="424" ht="15.75" customHeight="1" s="93"/>
    <row r="425" ht="15.75" customHeight="1" s="93"/>
    <row r="426" ht="15.75" customHeight="1" s="93"/>
    <row r="427" ht="15.75" customHeight="1" s="93"/>
    <row r="428" ht="15.75" customHeight="1" s="93"/>
    <row r="429" ht="15.75" customHeight="1" s="93"/>
    <row r="430" ht="15.75" customHeight="1" s="93"/>
    <row r="431" ht="15.75" customHeight="1" s="93"/>
    <row r="432" ht="15.75" customHeight="1" s="93"/>
    <row r="433" ht="15.75" customHeight="1" s="93"/>
    <row r="434" ht="15.75" customHeight="1" s="93"/>
    <row r="435" ht="15.75" customHeight="1" s="93"/>
    <row r="436" ht="15.75" customHeight="1" s="93"/>
    <row r="437" ht="15.75" customHeight="1" s="93"/>
    <row r="438" ht="15.75" customHeight="1" s="93"/>
    <row r="439" ht="15.75" customHeight="1" s="93"/>
    <row r="440" ht="15.75" customHeight="1" s="93"/>
    <row r="441" ht="15.75" customHeight="1" s="93"/>
    <row r="442" ht="15.75" customHeight="1" s="93"/>
    <row r="443" ht="15.75" customHeight="1" s="93"/>
    <row r="444" ht="15.75" customHeight="1" s="93"/>
    <row r="445" ht="15.75" customHeight="1" s="93"/>
    <row r="446" ht="15.75" customHeight="1" s="93"/>
    <row r="447" ht="15.75" customHeight="1" s="93"/>
    <row r="448" ht="15.75" customHeight="1" s="93"/>
    <row r="449" ht="15.75" customHeight="1" s="93"/>
    <row r="450" ht="15.75" customHeight="1" s="93"/>
    <row r="451" ht="15.75" customHeight="1" s="93"/>
    <row r="452" ht="15.75" customHeight="1" s="93"/>
    <row r="453" ht="15.75" customHeight="1" s="93"/>
    <row r="454" ht="15.75" customHeight="1" s="93"/>
    <row r="455" ht="15.75" customHeight="1" s="93"/>
    <row r="456" ht="15.75" customHeight="1" s="93"/>
    <row r="457" ht="15.75" customHeight="1" s="93"/>
    <row r="458" ht="15.75" customHeight="1" s="93"/>
    <row r="459" ht="15.75" customHeight="1" s="93"/>
    <row r="460" ht="15.75" customHeight="1" s="93"/>
    <row r="461" ht="15.75" customHeight="1" s="93"/>
    <row r="462" ht="15.75" customHeight="1" s="93"/>
    <row r="463" ht="15.75" customHeight="1" s="93"/>
    <row r="464" ht="15.75" customHeight="1" s="93"/>
    <row r="465" ht="15.75" customHeight="1" s="93"/>
    <row r="466" ht="15.75" customHeight="1" s="93"/>
    <row r="467" ht="15.75" customHeight="1" s="93"/>
    <row r="468" ht="15.75" customHeight="1" s="93"/>
    <row r="469" ht="15.75" customHeight="1" s="93"/>
    <row r="470" ht="15.75" customHeight="1" s="93"/>
    <row r="471" ht="15.75" customHeight="1" s="93"/>
    <row r="472" ht="15.75" customHeight="1" s="93"/>
    <row r="473" ht="15.75" customHeight="1" s="93"/>
    <row r="474" ht="15.75" customHeight="1" s="93"/>
    <row r="475" ht="15.75" customHeight="1" s="93"/>
    <row r="476" ht="15.75" customHeight="1" s="93"/>
    <row r="477" ht="15.75" customHeight="1" s="93"/>
    <row r="478" ht="15.75" customHeight="1" s="93"/>
    <row r="479" ht="15.75" customHeight="1" s="93"/>
    <row r="480" ht="15.75" customHeight="1" s="93"/>
    <row r="481" ht="15.75" customHeight="1" s="93"/>
    <row r="482" ht="15.75" customHeight="1" s="93"/>
    <row r="483" ht="15.75" customHeight="1" s="93"/>
    <row r="484" ht="15.75" customHeight="1" s="93"/>
    <row r="485" ht="15.75" customHeight="1" s="93"/>
    <row r="486" ht="15.75" customHeight="1" s="93"/>
    <row r="487" ht="15.75" customHeight="1" s="93"/>
    <row r="488" ht="15.75" customHeight="1" s="93"/>
    <row r="489" ht="15.75" customHeight="1" s="93"/>
    <row r="490" ht="15.75" customHeight="1" s="93"/>
    <row r="491" ht="15.75" customHeight="1" s="93"/>
    <row r="492" ht="15.75" customHeight="1" s="93"/>
    <row r="493" ht="15.75" customHeight="1" s="93"/>
    <row r="494" ht="15.75" customHeight="1" s="93"/>
    <row r="495" ht="15.75" customHeight="1" s="93"/>
    <row r="496" ht="15.75" customHeight="1" s="93"/>
    <row r="497" ht="15.75" customHeight="1" s="93"/>
    <row r="498" ht="15.75" customHeight="1" s="93"/>
    <row r="499" ht="15.75" customHeight="1" s="93"/>
    <row r="500" ht="15.75" customHeight="1" s="93"/>
    <row r="501" ht="15.75" customHeight="1" s="93"/>
    <row r="502" ht="15.75" customHeight="1" s="93"/>
    <row r="503" ht="15.75" customHeight="1" s="93"/>
    <row r="504" ht="15.75" customHeight="1" s="93"/>
    <row r="505" ht="15.75" customHeight="1" s="93"/>
    <row r="506" ht="15.75" customHeight="1" s="93"/>
    <row r="507" ht="15.75" customHeight="1" s="93"/>
    <row r="508" ht="15.75" customHeight="1" s="93"/>
    <row r="509" ht="15.75" customHeight="1" s="93"/>
    <row r="510" ht="15.75" customHeight="1" s="93"/>
    <row r="511" ht="15.75" customHeight="1" s="93"/>
    <row r="512" ht="15.75" customHeight="1" s="93"/>
    <row r="513" ht="15.75" customHeight="1" s="93"/>
    <row r="514" ht="15.75" customHeight="1" s="93"/>
    <row r="515" ht="15.75" customHeight="1" s="93"/>
    <row r="516" ht="15.75" customHeight="1" s="93"/>
    <row r="517" ht="15.75" customHeight="1" s="93"/>
    <row r="518" ht="15.75" customHeight="1" s="93"/>
    <row r="519" ht="15.75" customHeight="1" s="93"/>
    <row r="520" ht="15.75" customHeight="1" s="93"/>
    <row r="521" ht="15.75" customHeight="1" s="93"/>
    <row r="522" ht="15.75" customHeight="1" s="93"/>
    <row r="523" ht="15.75" customHeight="1" s="93"/>
    <row r="524" ht="15.75" customHeight="1" s="93"/>
    <row r="525" ht="15.75" customHeight="1" s="93"/>
    <row r="526" ht="15.75" customHeight="1" s="93"/>
    <row r="527" ht="15.75" customHeight="1" s="93"/>
    <row r="528" ht="15.75" customHeight="1" s="93"/>
    <row r="529" ht="15.75" customHeight="1" s="93"/>
    <row r="530" ht="15.75" customHeight="1" s="93"/>
    <row r="531" ht="15.75" customHeight="1" s="93"/>
    <row r="532" ht="15.75" customHeight="1" s="93"/>
    <row r="533" ht="15.75" customHeight="1" s="93"/>
    <row r="534" ht="15.75" customHeight="1" s="93"/>
    <row r="535" ht="15.75" customHeight="1" s="93"/>
    <row r="536" ht="15.75" customHeight="1" s="93"/>
    <row r="537" ht="15.75" customHeight="1" s="93"/>
    <row r="538" ht="15.75" customHeight="1" s="93"/>
    <row r="539" ht="15.75" customHeight="1" s="93"/>
    <row r="540" ht="15.75" customHeight="1" s="93"/>
    <row r="541" ht="15.75" customHeight="1" s="93"/>
    <row r="542" ht="15.75" customHeight="1" s="93"/>
    <row r="543" ht="15.75" customHeight="1" s="93"/>
    <row r="544" ht="15.75" customHeight="1" s="93"/>
    <row r="545" ht="15.75" customHeight="1" s="93"/>
    <row r="546" ht="15.75" customHeight="1" s="93"/>
    <row r="547" ht="15.75" customHeight="1" s="93"/>
    <row r="548" ht="15.75" customHeight="1" s="93"/>
    <row r="549" ht="15.75" customHeight="1" s="93"/>
    <row r="550" ht="15.75" customHeight="1" s="93"/>
    <row r="551" ht="15.75" customHeight="1" s="93"/>
    <row r="552" ht="15.75" customHeight="1" s="93"/>
    <row r="553" ht="15.75" customHeight="1" s="93"/>
    <row r="554" ht="15.75" customHeight="1" s="93"/>
    <row r="555" ht="15.75" customHeight="1" s="93"/>
    <row r="556" ht="15.75" customHeight="1" s="93"/>
    <row r="557" ht="15.75" customHeight="1" s="93"/>
    <row r="558" ht="15.75" customHeight="1" s="93"/>
    <row r="559" ht="15.75" customHeight="1" s="93"/>
    <row r="560" ht="15.75" customHeight="1" s="93"/>
    <row r="561" ht="15.75" customHeight="1" s="93"/>
    <row r="562" ht="15.75" customHeight="1" s="93"/>
    <row r="563" ht="15.75" customHeight="1" s="93"/>
    <row r="564" ht="15.75" customHeight="1" s="93"/>
    <row r="565" ht="15.75" customHeight="1" s="93"/>
    <row r="566" ht="15.75" customHeight="1" s="93"/>
    <row r="567" ht="15.75" customHeight="1" s="93"/>
    <row r="568" ht="15.75" customHeight="1" s="93"/>
    <row r="569" ht="15.75" customHeight="1" s="93"/>
    <row r="570" ht="15.75" customHeight="1" s="93"/>
    <row r="571" ht="15.75" customHeight="1" s="93"/>
    <row r="572" ht="15.75" customHeight="1" s="93"/>
    <row r="573" ht="15.75" customHeight="1" s="93"/>
    <row r="574" ht="15.75" customHeight="1" s="93"/>
    <row r="575" ht="15.75" customHeight="1" s="93"/>
    <row r="576" ht="15.75" customHeight="1" s="93"/>
    <row r="577" ht="15.75" customHeight="1" s="93"/>
    <row r="578" ht="15.75" customHeight="1" s="93"/>
    <row r="579" ht="15.75" customHeight="1" s="93"/>
    <row r="580" ht="15.75" customHeight="1" s="93"/>
    <row r="581" ht="15.75" customHeight="1" s="93"/>
    <row r="582" ht="15.75" customHeight="1" s="93"/>
    <row r="583" ht="15.75" customHeight="1" s="93"/>
    <row r="584" ht="15.75" customHeight="1" s="93"/>
    <row r="585" ht="15.75" customHeight="1" s="93"/>
    <row r="586" ht="15.75" customHeight="1" s="93"/>
    <row r="587" ht="15.75" customHeight="1" s="93"/>
    <row r="588" ht="15.75" customHeight="1" s="93"/>
    <row r="589" ht="15.75" customHeight="1" s="93"/>
    <row r="590" ht="15.75" customHeight="1" s="93"/>
    <row r="591" ht="15.75" customHeight="1" s="93"/>
    <row r="592" ht="15.75" customHeight="1" s="93"/>
    <row r="593" ht="15.75" customHeight="1" s="93"/>
    <row r="594" ht="15.75" customHeight="1" s="93"/>
    <row r="595" ht="15.75" customHeight="1" s="93"/>
    <row r="596" ht="15.75" customHeight="1" s="93"/>
    <row r="597" ht="15.75" customHeight="1" s="93"/>
    <row r="598" ht="15.75" customHeight="1" s="93"/>
    <row r="599" ht="15.75" customHeight="1" s="93"/>
    <row r="600" ht="15.75" customHeight="1" s="93"/>
    <row r="601" ht="15.75" customHeight="1" s="93"/>
    <row r="602" ht="15.75" customHeight="1" s="93"/>
    <row r="603" ht="15.75" customHeight="1" s="93"/>
    <row r="604" ht="15.75" customHeight="1" s="93"/>
    <row r="605" ht="15.75" customHeight="1" s="93"/>
    <row r="606" ht="15.75" customHeight="1" s="93"/>
    <row r="607" ht="15.75" customHeight="1" s="93"/>
    <row r="608" ht="15.75" customHeight="1" s="93"/>
    <row r="609" ht="15.75" customHeight="1" s="93"/>
    <row r="610" ht="15.75" customHeight="1" s="93"/>
    <row r="611" ht="15.75" customHeight="1" s="93"/>
    <row r="612" ht="15.75" customHeight="1" s="93"/>
    <row r="613" ht="15.75" customHeight="1" s="93"/>
    <row r="614" ht="15.75" customHeight="1" s="93"/>
    <row r="615" ht="15.75" customHeight="1" s="93"/>
    <row r="616" ht="15.75" customHeight="1" s="93"/>
    <row r="617" ht="15.75" customHeight="1" s="93"/>
    <row r="618" ht="15.75" customHeight="1" s="93"/>
    <row r="619" ht="15.75" customHeight="1" s="93"/>
    <row r="620" ht="15.75" customHeight="1" s="93"/>
    <row r="621" ht="15.75" customHeight="1" s="93"/>
    <row r="622" ht="15.75" customHeight="1" s="93"/>
    <row r="623" ht="15.75" customHeight="1" s="93"/>
    <row r="624" ht="15.75" customHeight="1" s="93"/>
    <row r="625" ht="15.75" customHeight="1" s="93"/>
    <row r="626" ht="15.75" customHeight="1" s="93"/>
    <row r="627" ht="15.75" customHeight="1" s="93"/>
    <row r="628" ht="15.75" customHeight="1" s="93"/>
    <row r="629" ht="15.75" customHeight="1" s="93"/>
    <row r="630" ht="15.75" customHeight="1" s="93"/>
    <row r="631" ht="15.75" customHeight="1" s="93"/>
    <row r="632" ht="15.75" customHeight="1" s="93"/>
    <row r="633" ht="15.75" customHeight="1" s="93"/>
    <row r="634" ht="15.75" customHeight="1" s="93"/>
    <row r="635" ht="15.75" customHeight="1" s="93"/>
    <row r="636" ht="15.75" customHeight="1" s="93"/>
    <row r="637" ht="15.75" customHeight="1" s="93"/>
    <row r="638" ht="15.75" customHeight="1" s="93"/>
    <row r="639" ht="15.75" customHeight="1" s="93"/>
    <row r="640" ht="15.75" customHeight="1" s="93"/>
    <row r="641" ht="15.75" customHeight="1" s="93"/>
    <row r="642" ht="15.75" customHeight="1" s="93"/>
    <row r="643" ht="15.75" customHeight="1" s="93"/>
    <row r="644" ht="15.75" customHeight="1" s="93"/>
    <row r="645" ht="15.75" customHeight="1" s="93"/>
    <row r="646" ht="15.75" customHeight="1" s="93"/>
    <row r="647" ht="15.75" customHeight="1" s="93"/>
    <row r="648" ht="15.75" customHeight="1" s="93"/>
    <row r="649" ht="15.75" customHeight="1" s="93"/>
    <row r="650" ht="15.75" customHeight="1" s="93"/>
    <row r="651" ht="15.75" customHeight="1" s="93"/>
    <row r="652" ht="15.75" customHeight="1" s="93"/>
    <row r="653" ht="15.75" customHeight="1" s="93"/>
    <row r="654" ht="15.75" customHeight="1" s="93"/>
    <row r="655" ht="15.75" customHeight="1" s="93"/>
    <row r="656" ht="15.75" customHeight="1" s="93"/>
    <row r="657" ht="15.75" customHeight="1" s="93"/>
    <row r="658" ht="15.75" customHeight="1" s="93"/>
    <row r="659" ht="15.75" customHeight="1" s="93"/>
    <row r="660" ht="15.75" customHeight="1" s="93"/>
    <row r="661" ht="15.75" customHeight="1" s="93"/>
    <row r="662" ht="15.75" customHeight="1" s="93"/>
    <row r="663" ht="15.75" customHeight="1" s="93"/>
    <row r="664" ht="15.75" customHeight="1" s="93"/>
    <row r="665" ht="15.75" customHeight="1" s="93"/>
    <row r="666" ht="15.75" customHeight="1" s="93"/>
    <row r="667" ht="15.75" customHeight="1" s="93"/>
    <row r="668" ht="15.75" customHeight="1" s="93"/>
    <row r="669" ht="15.75" customHeight="1" s="93"/>
    <row r="670" ht="15.75" customHeight="1" s="93"/>
    <row r="671" ht="15.75" customHeight="1" s="93"/>
    <row r="672" ht="15.75" customHeight="1" s="93"/>
    <row r="673" ht="15.75" customHeight="1" s="93"/>
    <row r="674" ht="15.75" customHeight="1" s="93"/>
    <row r="675" ht="15.75" customHeight="1" s="93"/>
    <row r="676" ht="15.75" customHeight="1" s="93"/>
    <row r="677" ht="15.75" customHeight="1" s="93"/>
    <row r="678" ht="15.75" customHeight="1" s="93"/>
    <row r="679" ht="15.75" customHeight="1" s="93"/>
    <row r="680" ht="15.75" customHeight="1" s="93"/>
    <row r="681" ht="15.75" customHeight="1" s="93"/>
    <row r="682" ht="15.75" customHeight="1" s="93"/>
    <row r="683" ht="15.75" customHeight="1" s="93"/>
    <row r="684" ht="15.75" customHeight="1" s="93"/>
    <row r="685" ht="15.75" customHeight="1" s="93"/>
    <row r="686" ht="15.75" customHeight="1" s="93"/>
    <row r="687" ht="15.75" customHeight="1" s="93"/>
    <row r="688" ht="15.75" customHeight="1" s="93"/>
    <row r="689" ht="15.75" customHeight="1" s="93"/>
    <row r="690" ht="15.75" customHeight="1" s="93"/>
    <row r="691" ht="15.75" customHeight="1" s="93"/>
    <row r="692" ht="15.75" customHeight="1" s="93"/>
    <row r="693" ht="15.75" customHeight="1" s="93"/>
    <row r="694" ht="15.75" customHeight="1" s="93"/>
    <row r="695" ht="15.75" customHeight="1" s="93"/>
    <row r="696" ht="15.75" customHeight="1" s="93"/>
    <row r="697" ht="15.75" customHeight="1" s="93"/>
    <row r="698" ht="15.75" customHeight="1" s="93"/>
    <row r="699" ht="15.75" customHeight="1" s="93"/>
    <row r="700" ht="15.75" customHeight="1" s="93"/>
    <row r="701" ht="15.75" customHeight="1" s="93"/>
    <row r="702" ht="15.75" customHeight="1" s="93"/>
    <row r="703" ht="15.75" customHeight="1" s="93"/>
    <row r="704" ht="15.75" customHeight="1" s="93"/>
    <row r="705" ht="15.75" customHeight="1" s="93"/>
    <row r="706" ht="15.75" customHeight="1" s="93"/>
    <row r="707" ht="15.75" customHeight="1" s="93"/>
    <row r="708" ht="15.75" customHeight="1" s="93"/>
    <row r="709" ht="15.75" customHeight="1" s="93"/>
    <row r="710" ht="15.75" customHeight="1" s="93"/>
    <row r="711" ht="15.75" customHeight="1" s="93"/>
    <row r="712" ht="15.75" customHeight="1" s="93"/>
    <row r="713" ht="15.75" customHeight="1" s="93"/>
    <row r="714" ht="15.75" customHeight="1" s="93"/>
    <row r="715" ht="15.75" customHeight="1" s="93"/>
    <row r="716" ht="15.75" customHeight="1" s="93"/>
    <row r="717" ht="15.75" customHeight="1" s="93"/>
    <row r="718" ht="15.75" customHeight="1" s="93"/>
    <row r="719" ht="15.75" customHeight="1" s="93"/>
    <row r="720" ht="15.75" customHeight="1" s="93"/>
    <row r="721" ht="15.75" customHeight="1" s="93"/>
    <row r="722" ht="15.75" customHeight="1" s="93"/>
    <row r="723" ht="15.75" customHeight="1" s="93"/>
    <row r="724" ht="15.75" customHeight="1" s="93"/>
    <row r="725" ht="15.75" customHeight="1" s="93"/>
    <row r="726" ht="15.75" customHeight="1" s="93"/>
    <row r="727" ht="15.75" customHeight="1" s="93"/>
    <row r="728" ht="15.75" customHeight="1" s="93"/>
    <row r="729" ht="15.75" customHeight="1" s="93"/>
    <row r="730" ht="15.75" customHeight="1" s="93"/>
    <row r="731" ht="15.75" customHeight="1" s="93"/>
    <row r="732" ht="15.75" customHeight="1" s="93"/>
    <row r="733" ht="15.75" customHeight="1" s="93"/>
    <row r="734" ht="15.75" customHeight="1" s="93"/>
    <row r="735" ht="15.75" customHeight="1" s="93"/>
    <row r="736" ht="15.75" customHeight="1" s="93"/>
    <row r="737" ht="15.75" customHeight="1" s="93"/>
    <row r="738" ht="15.75" customHeight="1" s="93"/>
    <row r="739" ht="15.75" customHeight="1" s="93"/>
    <row r="740" ht="15.75" customHeight="1" s="93"/>
    <row r="741" ht="15.75" customHeight="1" s="93"/>
    <row r="742" ht="15.75" customHeight="1" s="93"/>
    <row r="743" ht="15.75" customHeight="1" s="93"/>
    <row r="744" ht="15.75" customHeight="1" s="93"/>
    <row r="745" ht="15.75" customHeight="1" s="93"/>
    <row r="746" ht="15.75" customHeight="1" s="93"/>
    <row r="747" ht="15.75" customHeight="1" s="93"/>
    <row r="748" ht="15.75" customHeight="1" s="93"/>
    <row r="749" ht="15.75" customHeight="1" s="93"/>
    <row r="750" ht="15.75" customHeight="1" s="93"/>
    <row r="751" ht="15.75" customHeight="1" s="93"/>
    <row r="752" ht="15.75" customHeight="1" s="93"/>
    <row r="753" ht="15.75" customHeight="1" s="93"/>
    <row r="754" ht="15.75" customHeight="1" s="93"/>
    <row r="755" ht="15.75" customHeight="1" s="93"/>
    <row r="756" ht="15.75" customHeight="1" s="93"/>
    <row r="757" ht="15.75" customHeight="1" s="93"/>
    <row r="758" ht="15.75" customHeight="1" s="93"/>
    <row r="759" ht="15.75" customHeight="1" s="93"/>
    <row r="760" ht="15.75" customHeight="1" s="93"/>
    <row r="761" ht="15.75" customHeight="1" s="93"/>
    <row r="762" ht="15.75" customHeight="1" s="93"/>
    <row r="763" ht="15.75" customHeight="1" s="93"/>
    <row r="764" ht="15.75" customHeight="1" s="93"/>
    <row r="765" ht="15.75" customHeight="1" s="93"/>
    <row r="766" ht="15.75" customHeight="1" s="93"/>
    <row r="767" ht="15.75" customHeight="1" s="93"/>
    <row r="768" ht="15.75" customHeight="1" s="93"/>
    <row r="769" ht="15.75" customHeight="1" s="93"/>
    <row r="770" ht="15.75" customHeight="1" s="93"/>
    <row r="771" ht="15.75" customHeight="1" s="93"/>
    <row r="772" ht="15.75" customHeight="1" s="93"/>
    <row r="773" ht="15.75" customHeight="1" s="93"/>
    <row r="774" ht="15.75" customHeight="1" s="93"/>
    <row r="775" ht="15.75" customHeight="1" s="93"/>
    <row r="776" ht="15.75" customHeight="1" s="93"/>
    <row r="777" ht="15.75" customHeight="1" s="93"/>
    <row r="778" ht="15.75" customHeight="1" s="93"/>
    <row r="779" ht="15.75" customHeight="1" s="93"/>
    <row r="780" ht="15.75" customHeight="1" s="93"/>
    <row r="781" ht="15.75" customHeight="1" s="93"/>
    <row r="782" ht="15.75" customHeight="1" s="93"/>
    <row r="783" ht="15.75" customHeight="1" s="93"/>
    <row r="784" ht="15.75" customHeight="1" s="93"/>
    <row r="785" ht="15.75" customHeight="1" s="93"/>
    <row r="786" ht="15.75" customHeight="1" s="93"/>
    <row r="787" ht="15.75" customHeight="1" s="93"/>
    <row r="788" ht="15.75" customHeight="1" s="93"/>
    <row r="789" ht="15.75" customHeight="1" s="93"/>
    <row r="790" ht="15.75" customHeight="1" s="93"/>
    <row r="791" ht="15.75" customHeight="1" s="93"/>
    <row r="792" ht="15.75" customHeight="1" s="93"/>
    <row r="793" ht="15.75" customHeight="1" s="93"/>
    <row r="794" ht="15.75" customHeight="1" s="93"/>
    <row r="795" ht="15.75" customHeight="1" s="93"/>
    <row r="796" ht="15.75" customHeight="1" s="93"/>
    <row r="797" ht="15.75" customHeight="1" s="93"/>
    <row r="798" ht="15.75" customHeight="1" s="93"/>
    <row r="799" ht="15.75" customHeight="1" s="93"/>
    <row r="800" ht="15.75" customHeight="1" s="93"/>
    <row r="801" ht="15.75" customHeight="1" s="93"/>
    <row r="802" ht="15.75" customHeight="1" s="93"/>
    <row r="803" ht="15.75" customHeight="1" s="93"/>
    <row r="804" ht="15.75" customHeight="1" s="93"/>
    <row r="805" ht="15.75" customHeight="1" s="93"/>
    <row r="806" ht="15.75" customHeight="1" s="93"/>
    <row r="807" ht="15.75" customHeight="1" s="93"/>
    <row r="808" ht="15.75" customHeight="1" s="93"/>
    <row r="809" ht="15.75" customHeight="1" s="93"/>
    <row r="810" ht="15.75" customHeight="1" s="93"/>
    <row r="811" ht="15.75" customHeight="1" s="93"/>
    <row r="812" ht="15.75" customHeight="1" s="93"/>
    <row r="813" ht="15.75" customHeight="1" s="93"/>
    <row r="814" ht="15.75" customHeight="1" s="93"/>
    <row r="815" ht="15.75" customHeight="1" s="93"/>
    <row r="816" ht="15.75" customHeight="1" s="93"/>
    <row r="817" ht="15.75" customHeight="1" s="93"/>
    <row r="818" ht="15.75" customHeight="1" s="93"/>
    <row r="819" ht="15.75" customHeight="1" s="93"/>
    <row r="820" ht="15.75" customHeight="1" s="93"/>
    <row r="821" ht="15.75" customHeight="1" s="93"/>
    <row r="822" ht="15.75" customHeight="1" s="93"/>
    <row r="823" ht="15.75" customHeight="1" s="93"/>
    <row r="824" ht="15.75" customHeight="1" s="93"/>
    <row r="825" ht="15.75" customHeight="1" s="93"/>
    <row r="826" ht="15.75" customHeight="1" s="93"/>
    <row r="827" ht="15.75" customHeight="1" s="93"/>
    <row r="828" ht="15.75" customHeight="1" s="93"/>
    <row r="829" ht="15.75" customHeight="1" s="93"/>
    <row r="830" ht="15.75" customHeight="1" s="93"/>
    <row r="831" ht="15.75" customHeight="1" s="93"/>
    <row r="832" ht="15.75" customHeight="1" s="93"/>
    <row r="833" ht="15.75" customHeight="1" s="93"/>
    <row r="834" ht="15.75" customHeight="1" s="93"/>
    <row r="835" ht="15.75" customHeight="1" s="93"/>
    <row r="836" ht="15.75" customHeight="1" s="93"/>
    <row r="837" ht="15.75" customHeight="1" s="93"/>
    <row r="838" ht="15.75" customHeight="1" s="93"/>
    <row r="839" ht="15.75" customHeight="1" s="93"/>
    <row r="840" ht="15.75" customHeight="1" s="93"/>
    <row r="841" ht="15.75" customHeight="1" s="93"/>
    <row r="842" ht="15.75" customHeight="1" s="93"/>
    <row r="843" ht="15.75" customHeight="1" s="93"/>
    <row r="844" ht="15.75" customHeight="1" s="93"/>
    <row r="845" ht="15.75" customHeight="1" s="93"/>
    <row r="846" ht="15.75" customHeight="1" s="93"/>
    <row r="847" ht="15.75" customHeight="1" s="93"/>
    <row r="848" ht="15.75" customHeight="1" s="93"/>
    <row r="849" ht="15.75" customHeight="1" s="93"/>
    <row r="850" ht="15.75" customHeight="1" s="93"/>
    <row r="851" ht="15.75" customHeight="1" s="93"/>
    <row r="852" ht="15.75" customHeight="1" s="93"/>
    <row r="853" ht="15.75" customHeight="1" s="93"/>
    <row r="854" ht="15.75" customHeight="1" s="93"/>
    <row r="855" ht="15.75" customHeight="1" s="93"/>
    <row r="856" ht="15.75" customHeight="1" s="93"/>
    <row r="857" ht="15.75" customHeight="1" s="93"/>
    <row r="858" ht="15.75" customHeight="1" s="93"/>
    <row r="859" ht="15.75" customHeight="1" s="93"/>
    <row r="860" ht="15.75" customHeight="1" s="93"/>
    <row r="861" ht="15.75" customHeight="1" s="93"/>
    <row r="862" ht="15.75" customHeight="1" s="93"/>
    <row r="863" ht="15.75" customHeight="1" s="93"/>
    <row r="864" ht="15.75" customHeight="1" s="93"/>
    <row r="865" ht="15.75" customHeight="1" s="93"/>
    <row r="866" ht="15.75" customHeight="1" s="93"/>
    <row r="867" ht="15.75" customHeight="1" s="93"/>
    <row r="868" ht="15.75" customHeight="1" s="93"/>
    <row r="869" ht="15.75" customHeight="1" s="93"/>
    <row r="870" ht="15.75" customHeight="1" s="93"/>
    <row r="871" ht="15.75" customHeight="1" s="93"/>
    <row r="872" ht="15.75" customHeight="1" s="93"/>
    <row r="873" ht="15.75" customHeight="1" s="93"/>
    <row r="874" ht="15.75" customHeight="1" s="93"/>
    <row r="875" ht="15.75" customHeight="1" s="93"/>
    <row r="876" ht="15.75" customHeight="1" s="93"/>
    <row r="877" ht="15.75" customHeight="1" s="93"/>
    <row r="878" ht="15.75" customHeight="1" s="93"/>
    <row r="879" ht="15.75" customHeight="1" s="93"/>
    <row r="880" ht="15.75" customHeight="1" s="93"/>
    <row r="881" ht="15.75" customHeight="1" s="93"/>
    <row r="882" ht="15.75" customHeight="1" s="93"/>
    <row r="883" ht="15.75" customHeight="1" s="93"/>
    <row r="884" ht="15.75" customHeight="1" s="93"/>
    <row r="885" ht="15.75" customHeight="1" s="93"/>
    <row r="886" ht="15.75" customHeight="1" s="93"/>
    <row r="887" ht="15.75" customHeight="1" s="93"/>
    <row r="888" ht="15.75" customHeight="1" s="93"/>
    <row r="889" ht="15.75" customHeight="1" s="93"/>
    <row r="890" ht="15.75" customHeight="1" s="93"/>
    <row r="891" ht="15.75" customHeight="1" s="93"/>
    <row r="892" ht="15.75" customHeight="1" s="93"/>
    <row r="893" ht="15.75" customHeight="1" s="93"/>
    <row r="894" ht="15.75" customHeight="1" s="93"/>
    <row r="895" ht="15.75" customHeight="1" s="93"/>
    <row r="896" ht="15.75" customHeight="1" s="93"/>
    <row r="897" ht="15.75" customHeight="1" s="93"/>
    <row r="898" ht="15.75" customHeight="1" s="93"/>
    <row r="899" ht="15.75" customHeight="1" s="93"/>
    <row r="900" ht="15.75" customHeight="1" s="93"/>
    <row r="901" ht="15.75" customHeight="1" s="93"/>
    <row r="902" ht="15.75" customHeight="1" s="93"/>
    <row r="903" ht="15.75" customHeight="1" s="93"/>
    <row r="904" ht="15.75" customHeight="1" s="93"/>
    <row r="905" ht="15.75" customHeight="1" s="93"/>
    <row r="906" ht="15.75" customHeight="1" s="93"/>
    <row r="907" ht="15.75" customHeight="1" s="93"/>
    <row r="908" ht="15.75" customHeight="1" s="93"/>
    <row r="909" ht="15.75" customHeight="1" s="93"/>
    <row r="910" ht="15.75" customHeight="1" s="93"/>
    <row r="911" ht="15.75" customHeight="1" s="93"/>
    <row r="912" ht="15.75" customHeight="1" s="93"/>
    <row r="913" ht="15.75" customHeight="1" s="93"/>
    <row r="914" ht="15.75" customHeight="1" s="93"/>
    <row r="915" ht="15.75" customHeight="1" s="93"/>
    <row r="916" ht="15.75" customHeight="1" s="93"/>
    <row r="917" ht="15.75" customHeight="1" s="93"/>
    <row r="918" ht="15.75" customHeight="1" s="93"/>
    <row r="919" ht="15.75" customHeight="1" s="93"/>
    <row r="920" ht="15.75" customHeight="1" s="93"/>
    <row r="921" ht="15.75" customHeight="1" s="93"/>
    <row r="922" ht="15.75" customHeight="1" s="93"/>
    <row r="923" ht="15.75" customHeight="1" s="93"/>
    <row r="924" ht="15.75" customHeight="1" s="93"/>
    <row r="925" ht="15.75" customHeight="1" s="93"/>
    <row r="926" ht="15.75" customHeight="1" s="93"/>
    <row r="927" ht="15.75" customHeight="1" s="93"/>
    <row r="928" ht="15.75" customHeight="1" s="93"/>
    <row r="929" ht="15.75" customHeight="1" s="93"/>
    <row r="930" ht="15.75" customHeight="1" s="93"/>
    <row r="931" ht="15.75" customHeight="1" s="93"/>
    <row r="932" ht="15.75" customHeight="1" s="93"/>
    <row r="933" ht="15.75" customHeight="1" s="93"/>
    <row r="934" ht="15.75" customHeight="1" s="93"/>
    <row r="935" ht="15.75" customHeight="1" s="93"/>
    <row r="936" ht="15.75" customHeight="1" s="93"/>
    <row r="937" ht="15.75" customHeight="1" s="93"/>
    <row r="938" ht="15.75" customHeight="1" s="93"/>
    <row r="939" ht="15.75" customHeight="1" s="93"/>
    <row r="940" ht="15.75" customHeight="1" s="93"/>
    <row r="941" ht="15.75" customHeight="1" s="93"/>
    <row r="942" ht="15.75" customHeight="1" s="93"/>
    <row r="943" ht="15.75" customHeight="1" s="93"/>
    <row r="944" ht="15.75" customHeight="1" s="93"/>
    <row r="945" ht="15.75" customHeight="1" s="93"/>
    <row r="946" ht="15.75" customHeight="1" s="93"/>
    <row r="947" ht="15.75" customHeight="1" s="93"/>
    <row r="948" ht="15.75" customHeight="1" s="93"/>
    <row r="949" ht="15.75" customHeight="1" s="93"/>
    <row r="950" ht="15.75" customHeight="1" s="93"/>
    <row r="951" ht="15.75" customHeight="1" s="93"/>
    <row r="952" ht="15.75" customHeight="1" s="93"/>
    <row r="953" ht="15.75" customHeight="1" s="93"/>
    <row r="954" ht="15.75" customHeight="1" s="93"/>
    <row r="955" ht="15.75" customHeight="1" s="93"/>
    <row r="956" ht="15.75" customHeight="1" s="93"/>
    <row r="957" ht="15.75" customHeight="1" s="93"/>
    <row r="958" ht="15.75" customHeight="1" s="93"/>
    <row r="959" ht="15.75" customHeight="1" s="93"/>
    <row r="960" ht="15.75" customHeight="1" s="93"/>
    <row r="961" ht="15.75" customHeight="1" s="93"/>
    <row r="962" ht="15.75" customHeight="1" s="93"/>
    <row r="963" ht="15.75" customHeight="1" s="93"/>
    <row r="964" ht="15.75" customHeight="1" s="93"/>
    <row r="965" ht="15.75" customHeight="1" s="93"/>
    <row r="966" ht="15.75" customHeight="1" s="93"/>
    <row r="967" ht="15.75" customHeight="1" s="93"/>
    <row r="968" ht="15.75" customHeight="1" s="93"/>
    <row r="969" ht="15.75" customHeight="1" s="93"/>
    <row r="970" ht="15.75" customHeight="1" s="93"/>
    <row r="971" ht="15.75" customHeight="1" s="93"/>
    <row r="972" ht="15.75" customHeight="1" s="93"/>
    <row r="973" ht="15.75" customHeight="1" s="93"/>
    <row r="974" ht="15.75" customHeight="1" s="93"/>
    <row r="975" ht="15.75" customHeight="1" s="93"/>
    <row r="976" ht="15.75" customHeight="1" s="93"/>
    <row r="977" ht="15.75" customHeight="1" s="93"/>
    <row r="978" ht="15.75" customHeight="1" s="93"/>
    <row r="979" ht="15.75" customHeight="1" s="93"/>
    <row r="980" ht="15.75" customHeight="1" s="93"/>
    <row r="981" ht="15.75" customHeight="1" s="93"/>
    <row r="982" ht="15.75" customHeight="1" s="93"/>
    <row r="983" ht="15.75" customHeight="1" s="93"/>
    <row r="984" ht="15.75" customHeight="1" s="93"/>
    <row r="985" ht="15.75" customHeight="1" s="93"/>
    <row r="986" ht="15.75" customHeight="1" s="93"/>
    <row r="987" ht="15.75" customHeight="1" s="93"/>
    <row r="988" ht="15.75" customHeight="1" s="93"/>
    <row r="989" ht="15.75" customHeight="1" s="93"/>
    <row r="990" ht="15.75" customHeight="1" s="93"/>
    <row r="991" ht="15.75" customHeight="1" s="93"/>
    <row r="992" ht="15.75" customHeight="1" s="93"/>
    <row r="993" ht="15.75" customHeight="1" s="93"/>
    <row r="994" ht="15.75" customHeight="1" s="93"/>
    <row r="995" ht="15.75" customHeight="1" s="93"/>
    <row r="996" ht="15.75" customHeight="1" s="93"/>
    <row r="997" ht="15.75" customHeight="1" s="93"/>
    <row r="998" ht="15.75" customHeight="1" s="93"/>
    <row r="999" ht="15.75" customHeight="1" s="93"/>
    <row r="1000" ht="15.75" customHeight="1" s="93"/>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S30"/>
  <sheetViews>
    <sheetView showFormulas="0" showGridLines="1" showRowColHeaders="1" showZeros="1" rightToLeft="0" tabSelected="1" showOutlineSymbols="1" defaultGridColor="1" view="normal" topLeftCell="B1"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0" customWidth="1" style="92" min="1" max="1"/>
    <col width="6" customWidth="1" style="92" min="2" max="2"/>
    <col width="34" customWidth="1" style="92" min="3" max="3"/>
    <col width="12" customWidth="1" style="92" min="4" max="4"/>
    <col width="26" customWidth="1" style="92" min="5" max="5"/>
    <col width="18.34" customWidth="1" style="92" min="6" max="6"/>
    <col width="10" customWidth="1" style="92" min="7" max="7"/>
    <col width="12" customWidth="1" style="92" min="8" max="10"/>
    <col width="14" customWidth="1" style="92" min="11" max="11"/>
    <col width="55" customWidth="1" style="92" min="12" max="12"/>
    <col width="12" customWidth="1" style="92" min="13" max="14"/>
    <col width="14" customWidth="1" style="92" min="15" max="16"/>
    <col width="26" customWidth="1" style="92" min="17" max="17"/>
  </cols>
  <sheetData>
    <row r="1" ht="15" customHeight="1" s="93">
      <c r="A1" s="161" t="inlineStr">
        <is>
          <t>Daily Special Offerings — Sunday to Friday (one 10 L jug per night; Saturday is a built drink)</t>
        </is>
      </c>
    </row>
    <row r="2" ht="15" customHeight="1" s="93">
      <c r="A2" s="92" t="inlineStr">
        <is>
          <t>One 10 L drink-dispenser batch (~33 × ~10 oz servings) per night Sun-Fri (Wednesday is a 3-jug batch — see row 7), batched NON-alcoholic: decant ~2L pitchers into a punch bowl for self-serve, refill from the jug as needed; 1.5 oz liquor added per cup on request for those who want it. Michelada is no longer tracked here — it's built to order from whichever keg is on the beer line (see Keg Rotation tab). LIQUOR COLUMNS: column P is the liquor the model actually sizes and buys (column R = oz needed). Column Q is a SIGNAGE-ONLY second option — it is deliberately excluded from every calculation, so adding or changing it never moves a bottle count. Both bottles are already on the shopping list either way; the jug's liquor allocation is shared between whichever one the guest picks.</t>
        </is>
      </c>
    </row>
    <row r="3" ht="15" customHeight="1" s="93">
      <c r="A3" s="161" t="inlineStr">
        <is>
          <t>Day</t>
        </is>
      </c>
      <c r="B3" s="161" t="inlineStr">
        <is>
          <t>Slot</t>
        </is>
      </c>
      <c r="C3" s="161" t="inlineStr">
        <is>
          <t>Offering</t>
        </is>
      </c>
      <c r="D3" s="161" t="inlineStr">
        <is>
          <t>Format</t>
        </is>
      </c>
      <c r="E3" s="161" t="inlineStr">
        <is>
          <t>Servings</t>
        </is>
      </c>
      <c r="F3" s="161" t="inlineStr">
        <is>
          <t>Ingredient 1</t>
        </is>
      </c>
      <c r="G3" s="161" t="inlineStr">
        <is>
          <t>Ing 1 oz</t>
        </is>
      </c>
      <c r="H3" s="161" t="inlineStr">
        <is>
          <t>Ingredient 2</t>
        </is>
      </c>
      <c r="I3" s="161" t="inlineStr">
        <is>
          <t>Ing 2 oz</t>
        </is>
      </c>
      <c r="J3" s="161" t="inlineStr">
        <is>
          <t>Ingredient 3</t>
        </is>
      </c>
      <c r="K3" s="161" t="inlineStr">
        <is>
          <t>Ing 3 oz</t>
        </is>
      </c>
      <c r="L3" s="161" t="inlineStr">
        <is>
          <t>Ingredient 4</t>
        </is>
      </c>
      <c r="M3" s="161" t="inlineStr">
        <is>
          <t>Ing 4 oz</t>
        </is>
      </c>
      <c r="N3" s="161" t="inlineStr">
        <is>
          <t>Ingredient 5</t>
        </is>
      </c>
      <c r="O3" s="161" t="inlineStr">
        <is>
          <t>Ing 5 oz</t>
        </is>
      </c>
      <c r="P3" s="161" t="inlineStr">
        <is>
          <t>Alcohol (optional)</t>
        </is>
      </c>
      <c r="Q3" s="161" t="inlineStr">
        <is>
          <t>Alcohol — 2nd option (SIGNAGE ONLY)</t>
        </is>
      </c>
      <c r="R3" s="161" t="inlineStr">
        <is>
          <t>Alcohol oz needed</t>
        </is>
      </c>
      <c r="S3" s="161" t="inlineStr">
        <is>
          <t>Notes</t>
        </is>
      </c>
    </row>
    <row r="4" ht="15" customHeight="1" s="93">
      <c r="A4" s="161" t="inlineStr">
        <is>
          <t>Sunday</t>
        </is>
      </c>
      <c r="B4" s="161" t="n">
        <v>1</v>
      </c>
      <c r="C4" s="161" t="inlineStr">
        <is>
          <t>Cherry Bomb (Cherry Limeade)</t>
        </is>
      </c>
      <c r="D4" s="161" t="inlineStr">
        <is>
          <t>10 L jug</t>
        </is>
      </c>
      <c r="E4" s="162">
        <f>Assumptions!$B$117</f>
        <v/>
      </c>
      <c r="F4" s="161" t="inlineStr">
        <is>
          <t>Sprite</t>
        </is>
      </c>
      <c r="G4" s="161">
        <f>E4*2.5</f>
        <v/>
      </c>
      <c r="H4" s="161" t="inlineStr">
        <is>
          <t>Cherry syrup</t>
        </is>
      </c>
      <c r="I4" s="161">
        <f>E4*0.75</f>
        <v/>
      </c>
      <c r="J4" s="161" t="inlineStr">
        <is>
          <t>Lime juice (bottled)</t>
        </is>
      </c>
      <c r="K4" s="161">
        <f>E4*1</f>
        <v/>
      </c>
      <c r="L4" s="161" t="inlineStr">
        <is>
          <t>Maraschino cherries (garnish)</t>
        </is>
      </c>
      <c r="M4" s="161" t="n">
        <v>0</v>
      </c>
      <c r="N4" s="161" t="inlineStr">
        <is>
          <t>Soda water</t>
        </is>
      </c>
      <c r="O4" s="161">
        <f>E4*1</f>
        <v/>
      </c>
      <c r="P4" s="161" t="inlineStr">
        <is>
          <t>Vodka</t>
        </is>
      </c>
      <c r="Q4" s="161" t="inlineStr">
        <is>
          <t>Blanco Tequila</t>
        </is>
      </c>
      <c r="R4" s="92">
        <f>E4*Assumptions!$B$39*Assumptions!$B$40</f>
        <v/>
      </c>
      <c r="S4" s="92" t="inlineStr">
        <is>
          <t>Sonic-style cherry limeade, moved off Wednesday to open the arrival party. Sprite cut from 6oz to 3oz and now to 2.5oz, with 1oz of soda water added alongside it (1 : 2.5 soda water to Sprite) — the cherry + lime carry the flavour, so the soda water lengthens the drink without watering down the taste the way plain fill does. Still topped with water/ice to fill the 10 L jug; the fill just shrinks by half an ounce per serving.</t>
        </is>
      </c>
    </row>
    <row r="5" ht="15" customHeight="1" s="93">
      <c r="A5" s="92" t="inlineStr">
        <is>
          <t>Monday</t>
        </is>
      </c>
      <c r="B5" s="92" t="n">
        <v>1</v>
      </c>
      <c r="C5" s="92" t="inlineStr">
        <is>
          <t>Hard Reset (Watermelon-Mint Aqua Fresca)</t>
        </is>
      </c>
      <c r="D5" s="92" t="inlineStr">
        <is>
          <t>10 L jug</t>
        </is>
      </c>
      <c r="E5" s="104">
        <f>Assumptions!$B$117</f>
        <v/>
      </c>
      <c r="F5" s="92" t="inlineStr">
        <is>
          <t>Watermelon (fresh, blended)</t>
        </is>
      </c>
      <c r="G5" s="92">
        <f>E5*Assumptions!$B$51</f>
        <v/>
      </c>
      <c r="H5" s="92" t="inlineStr">
        <is>
          <t>Agave syrup</t>
        </is>
      </c>
      <c r="I5" s="92">
        <f>E5*Assumptions!$B$54</f>
        <v/>
      </c>
      <c r="J5" s="92" t="inlineStr">
        <is>
          <t>Fresh mint (blended)</t>
        </is>
      </c>
      <c r="K5" s="92" t="n">
        <v>5</v>
      </c>
      <c r="L5" s="92" t="inlineStr">
        <is>
          <t>Fresh lime (squeeze)</t>
        </is>
      </c>
      <c r="M5" s="92" t="n">
        <v>0</v>
      </c>
      <c r="N5" s="92" t="inlineStr">
        <is>
          <t>Water (fill)</t>
        </is>
      </c>
      <c r="O5" s="92" t="n">
        <v>0</v>
      </c>
      <c r="P5" s="92" t="inlineStr">
        <is>
          <t>Blanco Tequila</t>
        </is>
      </c>
      <c r="Q5" s="92" t="inlineStr">
        <is>
          <t>Vodka</t>
        </is>
      </c>
      <c r="R5" s="92">
        <f>E5*Assumptions!$B$39*Assumptions!$B$40</f>
        <v/>
      </c>
      <c r="S5" s="92"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93">
      <c r="A6" s="92" t="inlineStr">
        <is>
          <t>Tuesday</t>
        </is>
      </c>
      <c r="B6" s="92" t="n">
        <v>1</v>
      </c>
      <c r="C6" s="92" t="inlineStr">
        <is>
          <t>Smoke Test (Lapsang Souchong Lemonade)</t>
        </is>
      </c>
      <c r="D6" s="92" t="inlineStr">
        <is>
          <t>10 L jug</t>
        </is>
      </c>
      <c r="E6" s="104">
        <f>Assumptions!$B$117</f>
        <v/>
      </c>
      <c r="F6" s="92" t="inlineStr">
        <is>
          <t>Lapsang souchong</t>
        </is>
      </c>
      <c r="G6" s="92">
        <f>E6*Assumptions!$B$142</f>
        <v/>
      </c>
      <c r="H6" s="92" t="inlineStr">
        <is>
          <t>Lemonade</t>
        </is>
      </c>
      <c r="I6" s="92">
        <f>E6*3</f>
        <v/>
      </c>
      <c r="J6" s="92" t="inlineStr">
        <is>
          <t>Lime juice (bottled)</t>
        </is>
      </c>
      <c r="K6" s="92">
        <f>E6*0.5</f>
        <v/>
      </c>
      <c r="L6" s="92" t="inlineStr">
        <is>
          <t>Water/ice (fill)</t>
        </is>
      </c>
      <c r="M6" s="92" t="n">
        <v>0</v>
      </c>
      <c r="O6" s="92" t="n">
        <v>0</v>
      </c>
      <c r="P6" s="92" t="inlineStr">
        <is>
          <t>Whiskey</t>
        </is>
      </c>
      <c r="Q6" s="92" t="inlineStr">
        <is>
          <t>Spiced Rum</t>
        </is>
      </c>
      <c r="R6" s="92">
        <f>E6*Assumptions!$B$39*Assumptions!$B$40</f>
        <v/>
      </c>
      <c r="S6" s="92"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93">
      <c r="A7" s="92" t="inlineStr">
        <is>
          <t>Wednesday</t>
        </is>
      </c>
      <c r="B7" s="92" t="n">
        <v>1</v>
      </c>
      <c r="C7" s="92" t="inlineStr">
        <is>
          <t>Red Flag (Agua de Jamaica)</t>
        </is>
      </c>
      <c r="D7" s="92" t="inlineStr">
        <is>
          <t>3 x 10 L jugs</t>
        </is>
      </c>
      <c r="E7" s="162">
        <f>Assumptions!$B$117*3</f>
        <v/>
      </c>
      <c r="F7" s="161" t="inlineStr">
        <is>
          <t>Dried hibiscus</t>
        </is>
      </c>
      <c r="G7" s="161">
        <f>E7*Assumptions!$B$124</f>
        <v/>
      </c>
      <c r="H7" s="161" t="inlineStr">
        <is>
          <t>Agave syrup</t>
        </is>
      </c>
      <c r="I7" s="161">
        <f>E7*0.35</f>
        <v/>
      </c>
      <c r="J7" s="161" t="inlineStr">
        <is>
          <t>Lime juice (bottled)</t>
        </is>
      </c>
      <c r="K7" s="161">
        <f>E7*0.5</f>
        <v/>
      </c>
      <c r="L7" s="161" t="inlineStr">
        <is>
          <t>Water (fill)</t>
        </is>
      </c>
      <c r="M7" s="161" t="n">
        <v>0</v>
      </c>
      <c r="N7" s="161" t="n"/>
      <c r="O7" s="161" t="n">
        <v>0</v>
      </c>
      <c r="P7" s="161" t="inlineStr">
        <is>
          <t>Blanco Tequila</t>
        </is>
      </c>
      <c r="Q7" s="161" t="inlineStr">
        <is>
          <t>Spiced Rum</t>
        </is>
      </c>
      <c r="R7" s="92">
        <f>E7*Assumptions!$B$39*Assumptions!$B$40</f>
        <v/>
      </c>
      <c r="S7" s="92" t="inlineStr">
        <is>
          <t>Hibiscus agua fresca — steep ~2.8 oz dried flowers in hot water, strain, cool, then sweeten with agave and fill the jug with cold water/ice. Cold-steeping overnight works too. Deep magenta, properly tart, naturally still so there is nothing to go flat. ~1.5 tsp salt per jug. NOTE: hibiscus stains — cups, hands, clothing. Optional Blanco Tequila makes it a jamaica margarita. WEDNESDAY IS A TRIPLE BATCH (3 jugs, 99 servings) — hosting overflow from the party next door. Steep ~3x the hibiscus (still one lb bag) and scale agave and lime with it; the per-serving amounts are unchanged, only the batch count. Batch all three ahead of the door opening — hibiscus needs steep-and-cool time and you will not catch up mid-rush.</t>
        </is>
      </c>
    </row>
    <row r="8" ht="15" customHeight="1" s="93">
      <c r="A8" s="92" t="inlineStr">
        <is>
          <t>Thursday</t>
        </is>
      </c>
      <c r="B8" s="92" t="n">
        <v>1</v>
      </c>
      <c r="C8" s="92" t="inlineStr">
        <is>
          <t>Gradient Descent (Malibu Sunrise)</t>
        </is>
      </c>
      <c r="D8" s="92" t="inlineStr">
        <is>
          <t>10 L jug</t>
        </is>
      </c>
      <c r="E8" s="104">
        <f>Assumptions!$B$117</f>
        <v/>
      </c>
      <c r="F8" s="92" t="inlineStr">
        <is>
          <t>Orange juice</t>
        </is>
      </c>
      <c r="G8" s="92">
        <f>E8*4</f>
        <v/>
      </c>
      <c r="H8" s="92" t="inlineStr">
        <is>
          <t>Pineapple juice</t>
        </is>
      </c>
      <c r="I8" s="92">
        <f>E8*3</f>
        <v/>
      </c>
      <c r="J8" s="92" t="inlineStr">
        <is>
          <t>Grenadine</t>
        </is>
      </c>
      <c r="K8" s="92">
        <f>E8*0.5</f>
        <v/>
      </c>
      <c r="L8" s="92" t="inlineStr">
        <is>
          <t>Lime juice (bottled)</t>
        </is>
      </c>
      <c r="M8" s="92">
        <f>E8*0.5</f>
        <v/>
      </c>
      <c r="N8" s="92" t="inlineStr">
        <is>
          <t>Passion fruit purée</t>
        </is>
      </c>
      <c r="O8" s="92">
        <f>E8*0.5</f>
        <v/>
      </c>
      <c r="P8" s="92" t="inlineStr">
        <is>
          <t>Coconut Rum</t>
        </is>
      </c>
      <c r="Q8" s="92" t="inlineStr">
        <is>
          <t>Spiced Rum</t>
        </is>
      </c>
      <c r="R8" s="92">
        <f>E8*Assumptions!$B$39*Assumptions!$B$40</f>
        <v/>
      </c>
      <c r="S8" s="92" t="inlineStr">
        <is>
          <t>Batch OJ + pineapple + passion fruit + lime in the jug, then top with water/ice — juice cut from 9oz to 7oz per serving so it is not pure sugar in the heat. Add the grenadine to each CUP (it sinks) for the sunrise gradient. ~1.5 tsp salt per jug. Optional Malibu per cup. Orange slice / cherry garnish if supplies allow.</t>
        </is>
      </c>
    </row>
    <row r="9" ht="15" customHeight="1" s="93">
      <c r="A9" s="92" t="inlineStr">
        <is>
          <t>Friday</t>
        </is>
      </c>
      <c r="B9" s="92" t="n">
        <v>1</v>
      </c>
      <c r="C9" s="92" t="inlineStr">
        <is>
          <t>Whore-chata</t>
        </is>
      </c>
      <c r="D9" s="92" t="inlineStr">
        <is>
          <t>10 L jug</t>
        </is>
      </c>
      <c r="E9" s="104">
        <f>Assumptions!$B$117</f>
        <v/>
      </c>
      <c r="F9" s="92" t="inlineStr">
        <is>
          <t>Horchata mix</t>
        </is>
      </c>
      <c r="G9" s="92">
        <f>E9*3</f>
        <v/>
      </c>
      <c r="H9" s="92" t="inlineStr">
        <is>
          <t>Coconut cream</t>
        </is>
      </c>
      <c r="I9" s="92">
        <f>E9*0.5</f>
        <v/>
      </c>
      <c r="J9" s="92" t="inlineStr">
        <is>
          <t>Water/ice (fill)</t>
        </is>
      </c>
      <c r="K9" s="92" t="n">
        <v>0</v>
      </c>
      <c r="L9" s="92" t="inlineStr">
        <is>
          <t>Vanilla syrup</t>
        </is>
      </c>
      <c r="M9" s="92">
        <f>E9*0.25</f>
        <v/>
      </c>
      <c r="P9" s="92" t="inlineStr">
        <is>
          <t>Spiced Rum</t>
        </is>
      </c>
      <c r="Q9" s="92" t="inlineStr">
        <is>
          <t>Bourbon</t>
        </is>
      </c>
      <c r="R9" s="92">
        <f>E9*Assumptions!$B$39*Assumptions!$B$40</f>
        <v/>
      </c>
      <c r="S9" s="92" t="inlineStr">
        <is>
          <t>Rice-milk base + cinnamon/vanilla syrup, batched cold; optional Spiced Rum float. Coconut cream instead of dairy — nothing on the menu needs refrigeration now.</t>
        </is>
      </c>
    </row>
    <row r="10" ht="15" customHeight="1" s="93">
      <c r="A10" s="92" t="inlineStr">
        <is>
          <t>Saturday</t>
        </is>
      </c>
      <c r="B10" s="92" t="n">
        <v>1</v>
      </c>
      <c r="C10" s="92" t="inlineStr">
        <is>
          <t>Blue Screen of Death (DIY Baja Blast)</t>
        </is>
      </c>
      <c r="D10" s="92" t="inlineStr">
        <is>
          <t>10 L jug</t>
        </is>
      </c>
      <c r="E10" s="104">
        <f>Assumptions!$B$117</f>
        <v/>
      </c>
      <c r="F10" s="92" t="inlineStr">
        <is>
          <t>Lemonade</t>
        </is>
      </c>
      <c r="G10" s="92">
        <f>E10*4</f>
        <v/>
      </c>
      <c r="H10" s="92" t="inlineStr">
        <is>
          <t>Lime juice (bottled)</t>
        </is>
      </c>
      <c r="I10" s="92">
        <f>E10*1</f>
        <v/>
      </c>
      <c r="J10" s="92" t="inlineStr">
        <is>
          <t>Blue spirulina</t>
        </is>
      </c>
      <c r="K10" s="92" t="n">
        <v>0</v>
      </c>
      <c r="L10" s="92" t="inlineStr">
        <is>
          <t>Water/ice (fill)</t>
        </is>
      </c>
      <c r="M10" s="92" t="n">
        <v>0</v>
      </c>
      <c r="N10" s="92" t="inlineStr">
        <is>
          <t>Mountain Dew</t>
        </is>
      </c>
      <c r="O10" s="92">
        <f>E10*3</f>
        <v/>
      </c>
      <c r="P10" s="92" t="inlineStr">
        <is>
          <t>Blanco Tequila</t>
        </is>
      </c>
      <c r="Q10" s="92" t="inlineStr">
        <is>
          <t>Vodka</t>
        </is>
      </c>
      <c r="R10" s="92">
        <f>E10*Assumptions!$B$39*Assumptions!$B$40</f>
        <v/>
      </c>
      <c r="S10" s="92" t="inlineStr">
        <is>
          <t>BUILT PER CUP — the jug holds only the blue base (lemonade + lime + water, tinted teal with ~1-2 tsp blue spirulina). Top each cup with 3 oz of COLD Mountain Dew from a can at serve time. That is the only way this still has carbonation at hour six. Lime is what makes it read as Baja Blast. ~1.5 tsp salt per jug. Stir the jug now and then — spirulina settles. Optional Blanco Tequila for a Baja-rita.</t>
        </is>
      </c>
    </row>
    <row r="11" ht="15" customHeight="1" s="93">
      <c r="A11" s="92" t="inlineStr">
        <is>
          <t>Sunday</t>
        </is>
      </c>
      <c r="C11" s="92" t="inlineStr">
        <is>
          <t>Turtle Soup (Mix of leftover alcohol)</t>
        </is>
      </c>
      <c r="S11" s="92" t="inlineStr">
        <is>
          <t>This is JUST for signage purposes, it will be made from whatever is left over.</t>
        </is>
      </c>
    </row>
    <row r="12" ht="15" customHeight="1" s="93">
      <c r="A12" s="92" t="inlineStr">
        <is>
          <t>BACKUP</t>
        </is>
      </c>
      <c r="C12" s="92" t="inlineStr">
        <is>
          <t>Salted Limeade (spare jug — no extra shopping)</t>
        </is>
      </c>
      <c r="D12" s="92" t="inlineStr">
        <is>
          <t>10 L jug</t>
        </is>
      </c>
      <c r="S12" s="92"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3" ht="15" customHeight="1" s="93">
      <c r="C13" s="92" t="inlineStr">
        <is>
          <t>Sakura Kisses (Described in Built Drinks)</t>
        </is>
      </c>
    </row>
    <row r="14" ht="15" customHeight="1" s="93"/>
    <row r="15" ht="15" customHeight="1" s="93"/>
    <row r="17" ht="15" customHeight="1" s="93">
      <c r="A17" s="161" t="inlineStr">
        <is>
          <t>INGREDIENT TOTALS (jug-batch buys)</t>
        </is>
      </c>
      <c r="B17" s="92" t="inlineStr">
        <is>
          <t>Total oz</t>
        </is>
      </c>
      <c r="C17" s="92" t="inlineStr">
        <is>
          <t>+buffer</t>
        </is>
      </c>
      <c r="D17" s="92" t="inlineStr">
        <is>
          <t>Units to buy</t>
        </is>
      </c>
      <c r="E17" s="92" t="inlineStr">
        <is>
          <t>$/unit</t>
        </is>
      </c>
      <c r="F17" s="92" t="inlineStr">
        <is>
          <t>Subtotal</t>
        </is>
      </c>
      <c r="G17" s="92" t="inlineStr">
        <is>
          <t>Note</t>
        </is>
      </c>
    </row>
    <row r="18" ht="15" customHeight="1" s="93">
      <c r="A18" s="92" t="inlineStr">
        <is>
          <t>Watermelon (whole melons)</t>
        </is>
      </c>
      <c r="B18" s="92">
        <f>SUMPRODUCT(('Daily Schedule'!$F$4:$F$15="Watermelon (fresh, blended)")*'Daily Schedule'!$G$4:$G$15)+SUMPRODUCT(('Daily Schedule'!$H$4:$H$15="Watermelon (fresh, blended)")*'Daily Schedule'!$I$4:$I$15)+SUMPRODUCT(('Daily Schedule'!$J$4:$J$15="Watermelon (fresh, blended)")*'Daily Schedule'!$K$4:$K$15)+SUMPRODUCT(('Daily Schedule'!$L$4:$L$15="Watermelon (fresh, blended)")*'Daily Schedule'!$M$4:$M$15)+SUMPRODUCT(('Daily Schedule'!$N$4:$N$15="Watermelon (fresh, blended)")*'Daily Schedule'!$O$4:$O$15)</f>
        <v/>
      </c>
      <c r="C18" s="92">
        <f>B18*(1+Assumptions!$B$5)</f>
        <v/>
      </c>
      <c r="D18" s="92">
        <f>CEILING(C18/Assumptions!$B$76,1)</f>
        <v/>
      </c>
      <c r="E18" s="92">
        <f>Assumptions!$B$77</f>
        <v/>
      </c>
      <c r="F18" s="92">
        <f>D18*E18</f>
        <v/>
      </c>
      <c r="G18" s="92" t="inlineStr">
        <is>
          <t>Mon fresca — blend &amp; strain</t>
        </is>
      </c>
    </row>
    <row r="19" ht="15" customHeight="1" s="93">
      <c r="A19" s="92" t="inlineStr">
        <is>
          <t>Agave syrup (bottles)</t>
        </is>
      </c>
      <c r="B19" s="92">
        <f>SUMPRODUCT(('Daily Schedule'!$F$4:$F$15="Agave syrup")*'Daily Schedule'!$G$4:$G$15)+SUMPRODUCT(('Daily Schedule'!$H$4:$H$15="Agave syrup")*'Daily Schedule'!$I$4:$I$15)+SUMPRODUCT(('Daily Schedule'!$J$4:$J$15="Agave syrup")*'Daily Schedule'!$K$4:$K$15)+SUMPRODUCT(('Daily Schedule'!$L$4:$L$15="Agave syrup")*'Daily Schedule'!$M$4:$M$15)+SUMPRODUCT(('Daily Schedule'!$N$4:$N$15="Agave syrup")*'Daily Schedule'!$O$4:$O$15)</f>
        <v/>
      </c>
      <c r="C19" s="92">
        <f>B19*(1+Assumptions!$B$5)</f>
        <v/>
      </c>
      <c r="D19" s="92">
        <f>CEILING(C19/Assumptions!$B$132,1)</f>
        <v/>
      </c>
      <c r="E19" s="92">
        <f>Assumptions!$B$133</f>
        <v/>
      </c>
      <c r="F19" s="92">
        <f>D19*E19</f>
        <v/>
      </c>
      <c r="G19" s="92" t="inlineStr">
        <is>
          <t>Mon fresca + Wed Red Flag</t>
        </is>
      </c>
    </row>
    <row r="20" ht="15" customHeight="1" s="93">
      <c r="A20" s="92" t="inlineStr">
        <is>
          <t>TAB TOTAL (rows above + below)</t>
        </is>
      </c>
      <c r="F20" s="92">
        <f>F18+F19+SUM(F23:F30)</f>
        <v/>
      </c>
    </row>
    <row r="21" ht="15" customHeight="1" s="93">
      <c r="A21" s="92" t="inlineStr">
        <is>
          <t>Jug-format servings (for total-servings calc)</t>
        </is>
      </c>
      <c r="B21" s="92">
        <f>SUM(E4:E15)</f>
        <v/>
      </c>
    </row>
    <row r="22" ht="15" customHeight="1" s="93">
      <c r="A22" s="92" t="inlineStr">
        <is>
          <t>New special ingredients (Sun punch / Tue Baja Blast / Thu sunrise):</t>
        </is>
      </c>
    </row>
    <row r="23" ht="15" customHeight="1" s="93">
      <c r="A23" s="92" t="inlineStr">
        <is>
          <t>Orange juice (64oz cartons)</t>
        </is>
      </c>
      <c r="B23" s="92">
        <f>SUMPRODUCT(('Daily Schedule'!$F$4:$F$15="Orange juice")*'Daily Schedule'!$G$4:$G$15)+SUMPRODUCT(('Daily Schedule'!$H$4:$H$15="Orange juice")*'Daily Schedule'!$I$4:$I$15)+SUMPRODUCT(('Daily Schedule'!$J$4:$J$15="Orange juice")*'Daily Schedule'!$K$4:$K$15)+SUMPRODUCT(('Daily Schedule'!$L$4:$L$15="Orange juice")*'Daily Schedule'!$M$4:$M$15)+SUMPRODUCT(('Daily Schedule'!$N$4:$N$15="Orange juice")*'Daily Schedule'!$O$4:$O$15)</f>
        <v/>
      </c>
      <c r="C23" s="92">
        <f>B23*(1+Assumptions!$B$5)</f>
        <v/>
      </c>
      <c r="D23" s="92">
        <f>CEILING(C23/Assumptions!$B$69,1)</f>
        <v/>
      </c>
      <c r="E23" s="92">
        <f>Assumptions!$B$70</f>
        <v/>
      </c>
      <c r="F23" s="92">
        <f>D23*E23</f>
        <v/>
      </c>
      <c r="G23" s="92" t="inlineStr">
        <is>
          <t>Thu sunrise + Sat fresca</t>
        </is>
      </c>
    </row>
    <row r="24" ht="15" customHeight="1" s="93">
      <c r="A24" s="92" t="inlineStr">
        <is>
          <t>Pineapple juice (46oz cans)</t>
        </is>
      </c>
      <c r="B24" s="92">
        <f>SUMPRODUCT(('Daily Schedule'!$F$4:$F$15="Pineapple juice")*'Daily Schedule'!$G$4:$G$15)+SUMPRODUCT(('Daily Schedule'!$H$4:$H$15="Pineapple juice")*'Daily Schedule'!$I$4:$I$15)+SUMPRODUCT(('Daily Schedule'!$J$4:$J$15="Pineapple juice")*'Daily Schedule'!$K$4:$K$15)+SUMPRODUCT(('Daily Schedule'!$L$4:$L$15="Pineapple juice")*'Daily Schedule'!$M$4:$M$15)+SUMPRODUCT(('Daily Schedule'!$N$4:$N$15="Pineapple juice")*'Daily Schedule'!$O$4:$O$15)</f>
        <v/>
      </c>
      <c r="C24" s="92">
        <f>B24*(1+Assumptions!$B$5)</f>
        <v/>
      </c>
      <c r="D24" s="92">
        <f>CEILING(C24/Assumptions!$B$71,1)</f>
        <v/>
      </c>
      <c r="E24" s="92">
        <f>Assumptions!$B$72</f>
        <v/>
      </c>
      <c r="F24" s="92">
        <f>D24*E24</f>
        <v/>
      </c>
      <c r="G24" s="92" t="inlineStr">
        <is>
          <t>Thu sunrise</t>
        </is>
      </c>
    </row>
    <row r="25" ht="15" customHeight="1" s="93">
      <c r="A25" s="92" t="inlineStr">
        <is>
          <t>Grenadine (bottles)</t>
        </is>
      </c>
      <c r="B25" s="92">
        <f>SUMPRODUCT(('Daily Schedule'!$F$4:$F$15="Grenadine")*'Daily Schedule'!$G$4:$G$15)+SUMPRODUCT(('Daily Schedule'!$H$4:$H$15="Grenadine")*'Daily Schedule'!$I$4:$I$15)+SUMPRODUCT(('Daily Schedule'!$J$4:$J$15="Grenadine")*'Daily Schedule'!$K$4:$K$15)+SUMPRODUCT(('Daily Schedule'!$L$4:$L$15="Grenadine")*'Daily Schedule'!$M$4:$M$15)+SUMPRODUCT(('Daily Schedule'!$N$4:$N$15="Grenadine")*'Daily Schedule'!$O$4:$O$15)</f>
        <v/>
      </c>
      <c r="C25" s="92">
        <f>B25*(1+Assumptions!$B$5)</f>
        <v/>
      </c>
      <c r="D25" s="92">
        <f>CEILING(C25/Assumptions!$B$73,1)</f>
        <v/>
      </c>
      <c r="E25" s="92">
        <f>Assumptions!$B$74</f>
        <v/>
      </c>
      <c r="F25" s="92">
        <f>D25*E25</f>
        <v/>
      </c>
      <c r="G25" s="92" t="inlineStr">
        <is>
          <t>Sun punch + Thu sunrise</t>
        </is>
      </c>
    </row>
    <row r="26" ht="15" customHeight="1" s="93">
      <c r="A26" s="92" t="inlineStr">
        <is>
          <t>Blue spirulina (jar)</t>
        </is>
      </c>
      <c r="D26" s="92" t="n">
        <v>1</v>
      </c>
      <c r="E26" s="92">
        <f>Assumptions!$B$75</f>
        <v/>
      </c>
      <c r="F26" s="92">
        <f>D26*E26</f>
        <v/>
      </c>
      <c r="G26" s="92" t="inlineStr">
        <is>
          <t>Grams not oz — ~1-2 tsp per 4-gal batch; one jar covers the week</t>
        </is>
      </c>
    </row>
    <row r="27" ht="15" customHeight="1" s="93">
      <c r="A27" s="92" t="inlineStr">
        <is>
          <t>Lime juice (48oz bottles)</t>
        </is>
      </c>
      <c r="B27" s="92">
        <f>SUMPRODUCT(('Daily Schedule'!$F$4:$F$15="Lime juice (bottled)")*'Daily Schedule'!$G$4:$G$15)+SUMPRODUCT(('Daily Schedule'!$H$4:$H$15="Lime juice (bottled)")*'Daily Schedule'!$I$4:$I$15)+SUMPRODUCT(('Daily Schedule'!$J$4:$J$15="Lime juice (bottled)")*'Daily Schedule'!$K$4:$K$15)+SUMPRODUCT(('Daily Schedule'!$L$4:$L$15="Lime juice (bottled)")*'Daily Schedule'!$M$4:$M$15)+SUMPRODUCT(('Daily Schedule'!$N$4:$N$15="Lime juice (bottled)")*'Daily Schedule'!$O$4:$O$15)+SUMPRODUCT((Recipes!$H$3:$H$18="Lime juice (bottled)")*Recipes!$I$3:$I$18*Recipes!$B$3:$B$18)</f>
        <v/>
      </c>
      <c r="C27" s="92">
        <f>B27*(1+Assumptions!$B$5)</f>
        <v/>
      </c>
      <c r="D27" s="92">
        <f>CEILING(C27/Assumptions!$B$78,1)</f>
        <v/>
      </c>
      <c r="E27" s="92">
        <f>Assumptions!$B$79</f>
        <v/>
      </c>
      <c r="F27" s="92">
        <f>D27*E27</f>
        <v/>
      </c>
      <c r="G27" s="92" t="inlineStr">
        <is>
          <t>Wed Cherry Limeade</t>
        </is>
      </c>
    </row>
    <row r="28" ht="15" customHeight="1" s="93">
      <c r="A28" s="92" t="inlineStr">
        <is>
          <t>Maraschino cherries (jars)</t>
        </is>
      </c>
      <c r="D28" s="92" t="n">
        <v>2</v>
      </c>
      <c r="E28" s="92">
        <f>Assumptions!$B$80</f>
        <v/>
      </c>
      <c r="F28" s="92">
        <f>D28*E28</f>
        <v/>
      </c>
      <c r="G28" s="92" t="inlineStr">
        <is>
          <t>One cherry + juice splash per Wed cup (~35-40 cherries)</t>
        </is>
      </c>
    </row>
    <row r="29" ht="15" customHeight="1" s="93">
      <c r="A29" s="92" t="inlineStr">
        <is>
          <t>Dried hibiscus (lb bags)</t>
        </is>
      </c>
      <c r="B29" s="92">
        <f>SUMPRODUCT(('Daily Schedule'!$F$4:$F$15="Dried hibiscus")*'Daily Schedule'!$G$4:$G$15)+SUMPRODUCT(('Daily Schedule'!$H$4:$H$15="Dried hibiscus")*'Daily Schedule'!$I$4:$I$15)+SUMPRODUCT(('Daily Schedule'!$J$4:$J$15="Dried hibiscus")*'Daily Schedule'!$K$4:$K$15)+SUMPRODUCT(('Daily Schedule'!$L$4:$L$15="Dried hibiscus")*'Daily Schedule'!$M$4:$M$15)+SUMPRODUCT(('Daily Schedule'!$N$4:$N$15="Dried hibiscus")*'Daily Schedule'!$O$4:$O$15)</f>
        <v/>
      </c>
      <c r="C29" s="92">
        <f>B29*(1+Assumptions!$B$5)</f>
        <v/>
      </c>
      <c r="D29" s="92">
        <f>CEILING(C29/Assumptions!$B$125,1)</f>
        <v/>
      </c>
      <c r="E29" s="92">
        <f>Assumptions!$B$126</f>
        <v/>
      </c>
      <c r="F29" s="163" t="inlineStr">
        <is>
          <t>Kombucha</t>
        </is>
      </c>
      <c r="G29" s="92" t="inlineStr">
        <is>
          <t>Wed Red Flag — packs tiny and shelf-stable</t>
        </is>
      </c>
    </row>
    <row r="30" ht="15" customHeight="1" s="93">
      <c r="A30" s="92" t="inlineStr">
        <is>
          <t>Lapsang souchong (loose leaf)</t>
        </is>
      </c>
      <c r="B30" s="92">
        <f>SUMPRODUCT(('Daily Schedule'!$F$4:$F$15="Lapsang souchong")*'Daily Schedule'!$G$4:$G$15)+SUMPRODUCT(('Daily Schedule'!$H$4:$H$15="Lapsang souchong")*'Daily Schedule'!$I$4:$I$15)+SUMPRODUCT(('Daily Schedule'!$J$4:$J$15="Lapsang souchong")*'Daily Schedule'!$K$4:$K$15)+SUMPRODUCT(('Daily Schedule'!$L$4:$L$15="Lapsang souchong")*'Daily Schedule'!$M$4:$M$15)+SUMPRODUCT(('Daily Schedule'!$N$4:$N$15="Lapsang souchong")*'Daily Schedule'!$O$4:$O$15)</f>
        <v/>
      </c>
      <c r="C30" s="92">
        <f>B30*(1+Assumptions!$B$5)</f>
        <v/>
      </c>
      <c r="D30" s="92">
        <f>CEILING(C30/Assumptions!$B$143,1)</f>
        <v/>
      </c>
      <c r="E30" s="92">
        <f>Assumptions!$B$144</f>
        <v/>
      </c>
      <c r="F30" s="92">
        <f>D30*E30</f>
        <v/>
      </c>
      <c r="G30" s="92" t="inlineStr">
        <is>
          <t>Tue Smoke Test — packs to nothing</t>
        </is>
      </c>
    </row>
    <row r="1048576" ht="12.75" customHeight="1" s="93"/>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3" activeCellId="0" sqref="C13"/>
    </sheetView>
  </sheetViews>
  <sheetFormatPr baseColWidth="8" defaultColWidth="8.4296875" defaultRowHeight="15" zeroHeight="0" outlineLevelRow="0"/>
  <cols>
    <col width="16" customWidth="1" style="92" min="1" max="1"/>
    <col width="28" customWidth="1" style="92" min="2" max="2"/>
    <col width="34" customWidth="1" style="92" min="3" max="3"/>
    <col width="60" customWidth="1" style="92" min="4" max="5"/>
  </cols>
  <sheetData>
    <row r="1" ht="15" customHeight="1" s="93">
      <c r="A1" s="161" t="inlineStr">
        <is>
          <t>Keg Rotation — two continuous tap lines (Sunday party runs the two easiest kegs; 1 jug special every night on the Daily Schedule tab)</t>
        </is>
      </c>
    </row>
    <row r="2" ht="15" customHeight="1" s="93">
      <c r="A2" s="92" t="inlineStr">
        <is>
          <t>We always have exactly two taps live: a 'beer line' that evolves Paloma -&gt; Mexican Lager (Michelada) -&gt; Blonde Ale, and an 'other tap' line that runs Cider (Sun-Mon) -&gt; Kombucha (Tue-Fri, both kegs) -&gt; Green Tea (Sat). Sunday's party opens on Paloma + Cider for the fastest possible setup.</t>
        </is>
      </c>
    </row>
    <row r="4" ht="15" customHeight="1" s="93">
      <c r="A4" s="161" t="inlineStr">
        <is>
          <t>Day</t>
        </is>
      </c>
      <c r="B4" s="161" t="inlineStr">
        <is>
          <t>Beer Line</t>
        </is>
      </c>
      <c r="C4" s="161" t="inlineStr">
        <is>
          <t>Other Line</t>
        </is>
      </c>
      <c r="D4" s="161" t="inlineStr">
        <is>
          <t>Notes</t>
        </is>
      </c>
      <c r="E4" s="161" t="n"/>
    </row>
    <row r="5" ht="15" customHeight="1" s="93">
      <c r="A5" s="92" t="inlineStr">
        <is>
          <t>Sunday (party)</t>
        </is>
      </c>
      <c r="B5" s="92" t="inlineStr">
        <is>
          <t>Ancho Paloma Sour Ale</t>
        </is>
      </c>
      <c r="C5" s="92" t="inlineStr">
        <is>
          <t>Cider</t>
        </is>
      </c>
      <c r="D5" s="92" t="inlineStr">
        <is>
          <t>Arrival party, minimal setup time — Paloma + Cider, both served straight.</t>
        </is>
      </c>
    </row>
    <row r="6" ht="15" customHeight="1" s="93">
      <c r="A6" s="92" t="inlineStr">
        <is>
          <t>Monday</t>
        </is>
      </c>
      <c r="B6" s="92" t="inlineStr">
        <is>
          <t>Ancho Paloma Sour Ale</t>
        </is>
      </c>
      <c r="C6" s="92" t="inlineStr">
        <is>
          <t>Cider</t>
        </is>
      </c>
      <c r="D6" s="92" t="inlineStr">
        <is>
          <t>Beer line opens on Paloma; other line opens on Cider.</t>
        </is>
      </c>
    </row>
    <row r="7" ht="15" customHeight="1" s="93">
      <c r="A7" s="92" t="inlineStr">
        <is>
          <t>Tuesday</t>
        </is>
      </c>
      <c r="B7" s="92" t="inlineStr">
        <is>
          <t>Ancho Paloma Sour Ale</t>
        </is>
      </c>
      <c r="C7" s="92" t="inlineStr">
        <is>
          <t>Kombucha – Clear Mind</t>
        </is>
      </c>
      <c r="D7" s="92" t="inlineStr">
        <is>
          <t>Other line swaps to Kombucha (keg 1); Paloma's last day on the beer line.</t>
        </is>
      </c>
    </row>
    <row r="8" ht="15" customHeight="1" s="93">
      <c r="A8" s="92" t="inlineStr">
        <is>
          <t>Wednesday</t>
        </is>
      </c>
      <c r="B8" s="92" t="inlineStr">
        <is>
          <t>Mexican Lager (Michelada)</t>
        </is>
      </c>
      <c r="C8" s="92" t="inlineStr">
        <is>
          <t>Kombucha – Clear Mind</t>
        </is>
      </c>
      <c r="D8" s="92" t="inlineStr">
        <is>
          <t>Beer line swaps to Mexican Lager, built into Michelada; Kombucha continues.</t>
        </is>
      </c>
    </row>
    <row r="9" ht="15" customHeight="1" s="93">
      <c r="A9" s="92" t="inlineStr">
        <is>
          <t>Thursday</t>
        </is>
      </c>
      <c r="B9" s="92" t="inlineStr">
        <is>
          <t>Mexican Lager (Michelada)</t>
        </is>
      </c>
      <c r="C9" s="92" t="inlineStr">
        <is>
          <t>Kombucha – Passion Fruit</t>
        </is>
      </c>
      <c r="D9" s="92" t="inlineStr">
        <is>
          <t>Continues.</t>
        </is>
      </c>
    </row>
    <row r="10" ht="15" customHeight="1" s="93">
      <c r="A10" s="92" t="inlineStr">
        <is>
          <t>Friday</t>
        </is>
      </c>
      <c r="B10" s="127" t="inlineStr">
        <is>
          <t>Biggest Little Blonde Ale</t>
        </is>
      </c>
      <c r="C10" s="92" t="inlineStr">
        <is>
          <t>Kombucha – Passion Fruit</t>
        </is>
      </c>
      <c r="D10" s="92" t="inlineStr">
        <is>
          <t>Beer line closes on the Blonde Ale; Kombucha rolls onto keg 2 on the other line.</t>
        </is>
      </c>
    </row>
    <row r="11" ht="15" customHeight="1" s="93">
      <c r="A11" s="92" t="inlineStr">
        <is>
          <t>Saturday</t>
        </is>
      </c>
      <c r="B11" s="127" t="inlineStr">
        <is>
          <t>Biggest Little Blonde Ale</t>
        </is>
      </c>
      <c r="C11" s="92" t="inlineStr">
        <is>
          <t>Green Tea</t>
        </is>
      </c>
      <c r="D11" s="92" t="inlineStr">
        <is>
          <t>Catboy Café finale — other line swaps to Green Tea with the sakura+orange syrup add-on.</t>
        </is>
      </c>
    </row>
    <row r="13" ht="15" customHeight="1" s="93">
      <c r="A13" s="102" t="inlineStr">
        <is>
          <t>KOMBUCHA KEG SEQUENCING — which built drink comes off which keg</t>
        </is>
      </c>
    </row>
    <row r="14" ht="109.5" customHeight="1" s="93">
      <c r="A14" s="164" t="inlineStr">
        <is>
          <t>Three kombucha kegs now: 2 x passionfruit + 1 x Brew Dr. Clear Mind.
  • SCOBY-Dew — EITHER keg. Lemon + ginger + agave works over both; pull it from whichever is live.
  • Tang Dynasty — passionfruit keg ONLY. Tangerine + passionfruit needs the fruit-forward base.
  • Clear Cache — Clear Mind keg ONLY. Peach + lemon + sage needs the herbal base; it would be lost on the passionfruit, and sage against passionfruit actively clashes.
Sequencing: run a passionfruit keg first (Tang Dynasty + SCOBY-Dew), bring Clear Mind on for the back half so Clear Cache gets a clean window. The sheet nets SCOBY-Dew out of the passionfruit pair for accounting only — pour it off whatever is on tap.</t>
        </is>
      </c>
    </row>
  </sheetData>
  <mergeCells count="1">
    <mergeCell ref="A14:E1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52" customWidth="1" style="92" min="1" max="1"/>
    <col width="11" customWidth="1" style="92" min="2" max="2"/>
    <col width="12" customWidth="1" style="92" min="3" max="3"/>
    <col width="13" customWidth="1" style="92" min="4" max="4"/>
    <col width="16" customWidth="1" style="92" min="5" max="5"/>
    <col width="46" customWidth="1" style="92" min="6" max="6"/>
  </cols>
  <sheetData>
    <row r="1" ht="17.25" customHeight="1" s="93">
      <c r="A1" s="105" t="inlineStr">
        <is>
          <t>Keg Dispensing Kit — Buy vs Rent</t>
        </is>
      </c>
    </row>
    <row r="3" ht="45.75" customHeight="1" s="93">
      <c r="A3" s="106" t="inlineStr">
        <is>
          <t>We rent a 2-tap jockey box every burn. This compares that against buying our own. Yellow cells are editable — quantities and prices are estimates from July 2026 retail, swap in real quotes as we get them. Rental figures are live-linked to the Assumptions tab. NOTE: this tab is standalone — the Purchase List and Totals tabs still assume we rent, so nothing here changes the program budget until we decide.</t>
        </is>
      </c>
    </row>
    <row r="5" ht="15" customHeight="1" s="93">
      <c r="A5" s="102" t="inlineStr">
        <is>
          <t>1. RENTING — what we pay Mike's every single burn</t>
        </is>
      </c>
    </row>
    <row r="6" ht="24" customHeight="1" s="93">
      <c r="A6" s="107" t="inlineStr">
        <is>
          <t>Item</t>
        </is>
      </c>
      <c r="B6" s="107" t="inlineStr">
        <is>
          <t>Qty</t>
        </is>
      </c>
      <c r="C6" s="107" t="inlineStr">
        <is>
          <t>$ each</t>
        </is>
      </c>
      <c r="D6" s="107" t="inlineStr">
        <is>
          <t>Subtotal</t>
        </is>
      </c>
      <c r="E6" s="107" t="n"/>
      <c r="F6" s="107" t="inlineStr">
        <is>
          <t>Note</t>
        </is>
      </c>
    </row>
    <row r="7" ht="15" customHeight="1" s="93">
      <c r="A7" s="108" t="inlineStr">
        <is>
          <t>Double jockey box rental (2 taps, per 4-day period)</t>
        </is>
      </c>
      <c r="B7" s="109">
        <f>Assumptions!$B$34</f>
        <v/>
      </c>
      <c r="C7" s="111">
        <f>Assumptions!$B$33</f>
        <v/>
      </c>
      <c r="D7" s="111">
        <f>B7*C7</f>
        <v/>
      </c>
      <c r="E7" s="108" t="n"/>
      <c r="F7" s="165" t="inlineStr">
        <is>
          <t>Live from Assumptions B33/B34 — 12 days = 3 periods.</t>
        </is>
      </c>
    </row>
    <row r="8" ht="25.5" customHeight="1" s="93">
      <c r="A8" s="108" t="inlineStr">
        <is>
          <t>Jumper lines, spare washers, faucet wrench</t>
        </is>
      </c>
      <c r="B8" s="166" t="n">
        <v>1</v>
      </c>
      <c r="C8" s="167" t="n">
        <v>20</v>
      </c>
      <c r="D8" s="111">
        <f>B8*C8</f>
        <v/>
      </c>
      <c r="E8" s="108" t="n"/>
      <c r="F8" s="165" t="inlineStr">
        <is>
          <t>Purchase List row 23. Usually included; beer line is $2.50/ft if we need extra runs.</t>
        </is>
      </c>
    </row>
    <row r="9" ht="25.5" customHeight="1" s="93">
      <c r="A9" s="108" t="inlineStr">
        <is>
          <t>Regulator rental — ONLY if not included</t>
        </is>
      </c>
      <c r="B9" s="166" t="n">
        <v>0</v>
      </c>
      <c r="C9" s="167" t="n">
        <v>79</v>
      </c>
      <c r="D9" s="111">
        <f>B9*C9</f>
        <v/>
      </c>
      <c r="E9" s="108" t="n"/>
      <c r="F9" s="165" t="inlineStr">
        <is>
          <t>Defaulted to 0 to match Purchase List row 22, which assumes Mike's includes it — but that is UNCONFIRMED. Set Qty to 1 if they charge.</t>
        </is>
      </c>
    </row>
    <row r="10" ht="25.5" customHeight="1" s="93">
      <c r="A10" s="108" t="inlineStr">
        <is>
          <t>Keg coupler rental — ONLY if not included</t>
        </is>
      </c>
      <c r="B10" s="166" t="n">
        <v>0</v>
      </c>
      <c r="C10" s="167" t="n">
        <v>25</v>
      </c>
      <c r="D10" s="111">
        <f>B10*C10</f>
        <v/>
      </c>
      <c r="E10" s="108" t="n"/>
      <c r="F10" s="165" t="inlineStr">
        <is>
          <t>Same — defaulted to 0. Set Qty to 2 if they charge; two taps live at once needs two couplers.</t>
        </is>
      </c>
    </row>
    <row r="11" ht="15" customHeight="1" s="93">
      <c r="A11" s="112" t="inlineStr">
        <is>
          <t>RENT — TOTAL PER BURN, EVERY BURN</t>
        </is>
      </c>
      <c r="B11" s="112" t="n"/>
      <c r="C11" s="112" t="n"/>
      <c r="D11" s="115">
        <f>SUM(D7:D10)</f>
        <v/>
      </c>
      <c r="E11" s="112" t="n"/>
      <c r="F11" s="112" t="n"/>
    </row>
    <row r="13" ht="15" customHeight="1" s="93">
      <c r="A13" s="102" t="inlineStr">
        <is>
          <t>2. BUY OPTION A — add a second tap to the jockey box we already own  ← cheapest route to 2 taps</t>
        </is>
      </c>
    </row>
    <row r="14" ht="24" customHeight="1" s="93">
      <c r="A14" s="107" t="inlineStr">
        <is>
          <t>Item</t>
        </is>
      </c>
      <c r="B14" s="107" t="inlineStr">
        <is>
          <t>Qty</t>
        </is>
      </c>
      <c r="C14" s="107" t="inlineStr">
        <is>
          <t>$ each</t>
        </is>
      </c>
      <c r="D14" s="107" t="inlineStr">
        <is>
          <t>Subtotal</t>
        </is>
      </c>
      <c r="E14" s="107" t="n"/>
      <c r="F14" s="107" t="inlineStr">
        <is>
          <t>Note</t>
        </is>
      </c>
    </row>
    <row r="15" ht="25.5" customHeight="1" s="93">
      <c r="A15" s="108" t="inlineStr">
        <is>
          <t>1-tap coil kit (50' stainless coil + shank + faucet)</t>
        </is>
      </c>
      <c r="B15" s="166" t="n">
        <v>1</v>
      </c>
      <c r="C15" s="167" t="n">
        <v>140</v>
      </c>
      <c r="D15" s="111">
        <f>B15*C15</f>
        <v/>
      </c>
      <c r="E15" s="108" t="n"/>
      <c r="F15" s="165" t="inlineStr">
        <is>
          <t>NY Brew Supply, $128-140. Assumes our box is a working 1-tap. If it is an empty cooler with no coil, set Qty to 2.</t>
        </is>
      </c>
    </row>
    <row r="16" ht="15" customHeight="1" s="93">
      <c r="A16" s="108" t="inlineStr">
        <is>
          <t>5 lb aluminum CO2 tank</t>
        </is>
      </c>
      <c r="B16" s="166" t="n">
        <v>1</v>
      </c>
      <c r="C16" s="167" t="n">
        <v>99.75</v>
      </c>
      <c r="D16" s="111">
        <f>B16*C16</f>
        <v/>
      </c>
      <c r="E16" s="108" t="n"/>
      <c r="F16" s="165" t="inlineStr">
        <is>
          <t>Kegco. Owning it is what drops the refill price (section 4).</t>
        </is>
      </c>
    </row>
    <row r="17" ht="15" customHeight="1" s="93">
      <c r="A17" s="108" t="inlineStr">
        <is>
          <t>Dual-body CO2 regulator</t>
        </is>
      </c>
      <c r="B17" s="166" t="n">
        <v>1</v>
      </c>
      <c r="C17" s="167" t="n">
        <v>114.92</v>
      </c>
      <c r="D17" s="111">
        <f>B17*C17</f>
        <v/>
      </c>
      <c r="E17" s="108" t="n"/>
      <c r="F17" s="165" t="inlineStr">
        <is>
          <t>Kegco Elite. Two kegs at independent pressures off one tank.</t>
        </is>
      </c>
    </row>
    <row r="18" ht="15" customHeight="1" s="93">
      <c r="A18" s="108" t="inlineStr">
        <is>
          <t>Keg coupler — D system (American Sankey)</t>
        </is>
      </c>
      <c r="B18" s="166" t="n">
        <v>2</v>
      </c>
      <c r="C18" s="167" t="n">
        <v>52.99</v>
      </c>
      <c r="D18" s="111">
        <f>B18*C18</f>
        <v/>
      </c>
      <c r="E18" s="108" t="n"/>
      <c r="F18" s="165" t="inlineStr">
        <is>
          <t>Austin Homebrew. Lead Dog kegs and most US craft are D system.</t>
        </is>
      </c>
    </row>
    <row r="19" ht="25.5" customHeight="1" s="93">
      <c r="A19" s="108" t="inlineStr">
        <is>
          <t>Keg coupler — S system (European Sankey)</t>
        </is>
      </c>
      <c r="B19" s="166" t="n">
        <v>1</v>
      </c>
      <c r="C19" s="167" t="n">
        <v>59.99</v>
      </c>
      <c r="D19" s="111">
        <f>B19*C19</f>
        <v/>
      </c>
      <c r="E19" s="108" t="n"/>
      <c r="F19" s="165" t="inlineStr">
        <is>
          <t>For the Mexican Lager — many Mexican imports are S. CONFIRM with Mike's before buying.</t>
        </is>
      </c>
    </row>
    <row r="20" ht="15" customHeight="1" s="93">
      <c r="A20" s="108" t="inlineStr">
        <is>
          <t>Gas line, jumper lines, clamps, washers</t>
        </is>
      </c>
      <c r="B20" s="166" t="n">
        <v>1</v>
      </c>
      <c r="C20" s="167" t="n">
        <v>40</v>
      </c>
      <c r="D20" s="111">
        <f>B20*C20</f>
        <v/>
      </c>
      <c r="E20" s="108" t="n"/>
      <c r="F20" s="165" t="inlineStr">
        <is>
          <t>Consumable-ish; replace as needed.</t>
        </is>
      </c>
    </row>
    <row r="21" ht="15" customHeight="1" s="93">
      <c r="A21" s="112" t="inlineStr">
        <is>
          <t>OPTION A — ONE-TIME COST</t>
        </is>
      </c>
      <c r="B21" s="112" t="n"/>
      <c r="C21" s="112" t="n"/>
      <c r="D21" s="115">
        <f>SUM(D15:D20)</f>
        <v/>
      </c>
      <c r="E21" s="112" t="n"/>
      <c r="F21" s="112" t="n"/>
    </row>
    <row r="23" ht="15" customHeight="1" s="93">
      <c r="A23" s="102" t="inlineStr">
        <is>
          <t>3. BUY OPTION B — buy a complete 2-tap box (our existing box becomes a spare / 3rd tap)</t>
        </is>
      </c>
    </row>
    <row r="24" ht="24" customHeight="1" s="93">
      <c r="A24" s="107" t="inlineStr">
        <is>
          <t>Item</t>
        </is>
      </c>
      <c r="B24" s="107" t="inlineStr">
        <is>
          <t>Qty</t>
        </is>
      </c>
      <c r="C24" s="107" t="inlineStr">
        <is>
          <t>$ each</t>
        </is>
      </c>
      <c r="D24" s="107" t="inlineStr">
        <is>
          <t>Subtotal</t>
        </is>
      </c>
      <c r="E24" s="107" t="n"/>
      <c r="F24" s="107" t="inlineStr">
        <is>
          <t>Note</t>
        </is>
      </c>
    </row>
    <row r="25" ht="25.5" customHeight="1" s="93">
      <c r="A25" s="108" t="inlineStr">
        <is>
          <t>Classic 48qt dual-tap jockey box (2 x 50' coils, SS faucets + shanks)</t>
        </is>
      </c>
      <c r="B25" s="166" t="n">
        <v>1</v>
      </c>
      <c r="C25" s="167" t="n">
        <v>474.99</v>
      </c>
      <c r="D25" s="111">
        <f>B25*C25</f>
        <v/>
      </c>
      <c r="E25" s="108" t="n"/>
      <c r="F25" s="165" t="inlineStr">
        <is>
          <t>BeverageCraft. Upgrade to 70' coils ~+$100 or 120' ~+$180 — strongly worth it in playa heat, 50' coils foam.</t>
        </is>
      </c>
    </row>
    <row r="26" ht="15" customHeight="1" s="93">
      <c r="A26" s="108" t="inlineStr">
        <is>
          <t>5 lb aluminum CO2 tank</t>
        </is>
      </c>
      <c r="B26" s="166" t="n">
        <v>1</v>
      </c>
      <c r="C26" s="167" t="n">
        <v>99.75</v>
      </c>
      <c r="D26" s="111">
        <f>B26*C26</f>
        <v/>
      </c>
      <c r="E26" s="108" t="n"/>
      <c r="F26" s="165" t="n"/>
    </row>
    <row r="27" ht="15" customHeight="1" s="93">
      <c r="A27" s="108" t="inlineStr">
        <is>
          <t>Dual-body CO2 regulator</t>
        </is>
      </c>
      <c r="B27" s="166" t="n">
        <v>1</v>
      </c>
      <c r="C27" s="167" t="n">
        <v>114.92</v>
      </c>
      <c r="D27" s="111">
        <f>B27*C27</f>
        <v/>
      </c>
      <c r="E27" s="108" t="n"/>
      <c r="F27" s="165" t="n"/>
    </row>
    <row r="28" ht="15" customHeight="1" s="93">
      <c r="A28" s="108" t="inlineStr">
        <is>
          <t>Keg coupler — D system</t>
        </is>
      </c>
      <c r="B28" s="166" t="n">
        <v>2</v>
      </c>
      <c r="C28" s="167" t="n">
        <v>52.99</v>
      </c>
      <c r="D28" s="111">
        <f>B28*C28</f>
        <v/>
      </c>
      <c r="E28" s="108" t="n"/>
      <c r="F28" s="165" t="n"/>
    </row>
    <row r="29" ht="15" customHeight="1" s="93">
      <c r="A29" s="108" t="inlineStr">
        <is>
          <t>Keg coupler — S system</t>
        </is>
      </c>
      <c r="B29" s="166" t="n">
        <v>1</v>
      </c>
      <c r="C29" s="167" t="n">
        <v>59.99</v>
      </c>
      <c r="D29" s="111">
        <f>B29*C29</f>
        <v/>
      </c>
      <c r="E29" s="108" t="n"/>
      <c r="F29" s="165" t="n"/>
    </row>
    <row r="30" ht="15" customHeight="1" s="93">
      <c r="A30" s="108" t="inlineStr">
        <is>
          <t>Gas line, jumper lines, clamps, washers</t>
        </is>
      </c>
      <c r="B30" s="166" t="n">
        <v>1</v>
      </c>
      <c r="C30" s="167" t="n">
        <v>40</v>
      </c>
      <c r="D30" s="111">
        <f>B30*C30</f>
        <v/>
      </c>
      <c r="E30" s="108" t="n"/>
      <c r="F30" s="165" t="n"/>
    </row>
    <row r="31" ht="15" customHeight="1" s="93">
      <c r="A31" s="112" t="inlineStr">
        <is>
          <t>OPTION B — ONE-TIME COST</t>
        </is>
      </c>
      <c r="B31" s="112" t="n"/>
      <c r="C31" s="112" t="n"/>
      <c r="D31" s="115">
        <f>SUM(D25:D30)</f>
        <v/>
      </c>
      <c r="E31" s="112" t="n"/>
      <c r="F31" s="112" t="n"/>
    </row>
    <row r="33" ht="15" customHeight="1" s="93">
      <c r="A33" s="102" t="inlineStr">
        <is>
          <t>4. CO2 GAS — we pay this either way, but owning the tank makes it much cheaper</t>
        </is>
      </c>
    </row>
    <row r="34" ht="24" customHeight="1" s="93">
      <c r="A34" s="107" t="inlineStr">
        <is>
          <t>Item</t>
        </is>
      </c>
      <c r="B34" s="107" t="inlineStr">
        <is>
          <t>Qty</t>
        </is>
      </c>
      <c r="C34" s="107" t="inlineStr">
        <is>
          <t>$ each</t>
        </is>
      </c>
      <c r="D34" s="107" t="inlineStr">
        <is>
          <t>Subtotal</t>
        </is>
      </c>
      <c r="E34" s="107" t="n"/>
      <c r="F34" s="107" t="inlineStr">
        <is>
          <t>Note</t>
        </is>
      </c>
    </row>
    <row r="35" ht="25.5" customHeight="1" s="93">
      <c r="A35" s="108" t="inlineStr">
        <is>
          <t>CO2 fills — renting / exchanging the tank</t>
        </is>
      </c>
      <c r="B35" s="109">
        <f>Assumptions!$B$36</f>
        <v/>
      </c>
      <c r="C35" s="111">
        <f>Assumptions!$B$35</f>
        <v/>
      </c>
      <c r="D35" s="111">
        <f>B35*C35</f>
        <v/>
      </c>
      <c r="E35" s="108" t="n"/>
      <c r="F35" s="165" t="inlineStr">
        <is>
          <t>Current model assumption (Assumptions B35/B36). $59 a fill reads like a tank-exchange rate.</t>
        </is>
      </c>
    </row>
    <row r="36" ht="25.5" customHeight="1" s="93">
      <c r="A36" s="108" t="inlineStr">
        <is>
          <t>CO2 fills — refilling a tank we own</t>
        </is>
      </c>
      <c r="B36" s="166">
        <f>B35</f>
        <v/>
      </c>
      <c r="C36" s="167" t="n">
        <v>20</v>
      </c>
      <c r="D36" s="111">
        <f>B36*C36</f>
        <v/>
      </c>
      <c r="E36" s="108" t="n"/>
      <c r="F36" s="165" t="inlineStr">
        <is>
          <t>Homebrew shop or welding supply: $15-25 for a 5 lb. Same number of fills.</t>
        </is>
      </c>
    </row>
    <row r="38" ht="15" customHeight="1" s="93">
      <c r="A38" s="102" t="inlineStr">
        <is>
          <t>5. SIDE BY SIDE — cash out the door THIS burn</t>
        </is>
      </c>
    </row>
    <row r="39" ht="24" customHeight="1" s="93">
      <c r="A39" s="107" t="inlineStr">
        <is>
          <t>Scenario</t>
        </is>
      </c>
      <c r="B39" s="107" t="inlineStr">
        <is>
          <t>One-time kit</t>
        </is>
      </c>
      <c r="C39" s="107" t="inlineStr">
        <is>
          <t>Rental</t>
        </is>
      </c>
      <c r="D39" s="107" t="inlineStr">
        <is>
          <t>CO2</t>
        </is>
      </c>
      <c r="E39" s="107" t="inlineStr">
        <is>
          <t>TOTAL this burn</t>
        </is>
      </c>
      <c r="F39" s="107" t="inlineStr">
        <is>
          <t>Note</t>
        </is>
      </c>
    </row>
    <row r="40" ht="15" customHeight="1" s="93">
      <c r="A40" s="108" t="inlineStr">
        <is>
          <t>Keep renting (status quo)</t>
        </is>
      </c>
      <c r="B40" s="111" t="n">
        <v>0</v>
      </c>
      <c r="C40" s="111">
        <f>D11</f>
        <v/>
      </c>
      <c r="D40" s="111">
        <f>D35</f>
        <v/>
      </c>
      <c r="E40" s="168">
        <f>B40+C40+D40</f>
        <v/>
      </c>
      <c r="F40" s="165" t="inlineStr">
        <is>
          <t>What the Purchase List currently assumes.</t>
        </is>
      </c>
    </row>
    <row r="41" ht="15" customHeight="1" s="93">
      <c r="A41" s="108" t="inlineStr">
        <is>
          <t>Option A — add a tap to our own box</t>
        </is>
      </c>
      <c r="B41" s="111">
        <f>D21</f>
        <v/>
      </c>
      <c r="C41" s="111" t="n">
        <v>0</v>
      </c>
      <c r="D41" s="111">
        <f>D36</f>
        <v/>
      </c>
      <c r="E41" s="168">
        <f>B41+C41+D41</f>
        <v/>
      </c>
      <c r="F41" s="165" t="inlineStr">
        <is>
          <t>We own everything afterwards. Cheapest path to two taps.</t>
        </is>
      </c>
    </row>
    <row r="42" ht="15" customHeight="1" s="93">
      <c r="A42" s="108" t="inlineStr">
        <is>
          <t>Option B — buy a complete 2-tap box</t>
        </is>
      </c>
      <c r="B42" s="111">
        <f>D31</f>
        <v/>
      </c>
      <c r="C42" s="111" t="n">
        <v>0</v>
      </c>
      <c r="D42" s="111">
        <f>D36</f>
        <v/>
      </c>
      <c r="E42" s="168">
        <f>B42+C42+D42</f>
        <v/>
      </c>
      <c r="F42" s="165" t="inlineStr">
        <is>
          <t>Also leaves us a spare box for a third tap or a backup.</t>
        </is>
      </c>
    </row>
    <row r="43" ht="15" customHeight="1" s="93">
      <c r="A43" s="169" t="inlineStr">
        <is>
          <t>Option A vs renting — extra cash needed this burn</t>
        </is>
      </c>
      <c r="B43" s="169" t="n"/>
      <c r="C43" s="169" t="n"/>
      <c r="D43" s="169" t="n"/>
      <c r="E43" s="170">
        <f>E41-E40</f>
        <v/>
      </c>
      <c r="F43" s="169" t="n"/>
    </row>
    <row r="44" ht="15" customHeight="1" s="93">
      <c r="A44" s="169" t="inlineStr">
        <is>
          <t>Option B vs renting — extra cash needed this burn</t>
        </is>
      </c>
      <c r="B44" s="169" t="n"/>
      <c r="C44" s="169" t="n"/>
      <c r="D44" s="169" t="n"/>
      <c r="E44" s="170">
        <f>E42-E40</f>
        <v/>
      </c>
      <c r="F44" s="169" t="n"/>
    </row>
    <row r="46" ht="15" customHeight="1" s="93">
      <c r="A46" s="102" t="inlineStr">
        <is>
          <t>6. PAYBACK &amp; COST PER BURN</t>
        </is>
      </c>
    </row>
    <row r="47" ht="15" customHeight="1" s="93">
      <c r="A47" s="108" t="inlineStr">
        <is>
          <t>Rental cost we avoid every future burn</t>
        </is>
      </c>
      <c r="B47" s="111">
        <f>D11+D35-D36</f>
        <v/>
      </c>
      <c r="C47" s="108" t="n"/>
      <c r="D47" s="108" t="n"/>
      <c r="E47" s="108" t="n"/>
      <c r="F47" s="165" t="inlineStr">
        <is>
          <t>The rental itself, plus the CO2 saving from owning our own tank.</t>
        </is>
      </c>
    </row>
    <row r="48" ht="15" customHeight="1" s="93">
      <c r="A48" s="108" t="inlineStr">
        <is>
          <t>Option A — burns until it has paid for itself</t>
        </is>
      </c>
      <c r="B48" s="171">
        <f>D21/$B$47</f>
        <v/>
      </c>
      <c r="C48" s="108" t="n"/>
      <c r="D48" s="108" t="n"/>
      <c r="E48" s="108" t="n"/>
      <c r="F48" s="165" t="inlineStr">
        <is>
          <t>Under 1.0 means it is cheaper than renting immediately.</t>
        </is>
      </c>
    </row>
    <row r="49" ht="15" customHeight="1" s="93">
      <c r="A49" s="108" t="inlineStr">
        <is>
          <t>Option B — burns until it has paid for itself</t>
        </is>
      </c>
      <c r="B49" s="171">
        <f>D31/$B$47</f>
        <v/>
      </c>
      <c r="C49" s="108" t="n"/>
      <c r="D49" s="108" t="n"/>
      <c r="E49" s="108" t="n"/>
      <c r="F49" s="165" t="n"/>
    </row>
    <row r="50" ht="15" customHeight="1" s="93">
      <c r="A50" s="108" t="inlineStr">
        <is>
          <t>Burns to amortize over (editable)</t>
        </is>
      </c>
      <c r="B50" s="166" t="n">
        <v>3</v>
      </c>
      <c r="C50" s="108" t="n"/>
      <c r="D50" s="108" t="n"/>
      <c r="E50" s="108" t="n"/>
      <c r="F50" s="165" t="inlineStr">
        <is>
          <t>How many years we expect to keep using this kit.</t>
        </is>
      </c>
    </row>
    <row r="51" ht="15" customHeight="1" s="93">
      <c r="A51" s="172" t="inlineStr">
        <is>
          <t>Renting — cost per burn</t>
        </is>
      </c>
      <c r="B51" s="111">
        <f>D11+D35</f>
        <v/>
      </c>
      <c r="C51" s="108" t="n"/>
      <c r="D51" s="108" t="n"/>
      <c r="E51" s="108" t="n"/>
      <c r="F51" s="165" t="n"/>
    </row>
    <row r="52" ht="15" customHeight="1" s="93">
      <c r="A52" s="172" t="inlineStr">
        <is>
          <t>Option A — cost per burn, amortized</t>
        </is>
      </c>
      <c r="B52" s="111">
        <f>D21/$B$50+D36</f>
        <v/>
      </c>
      <c r="C52" s="108" t="n"/>
      <c r="D52" s="108" t="n"/>
      <c r="E52" s="108" t="n"/>
      <c r="F52" s="165" t="n"/>
    </row>
    <row r="53" ht="15" customHeight="1" s="93">
      <c r="A53" s="172" t="inlineStr">
        <is>
          <t>Option B — cost per burn, amortized</t>
        </is>
      </c>
      <c r="B53" s="111">
        <f>D31/$B$50+D36</f>
        <v/>
      </c>
      <c r="C53" s="108" t="n"/>
      <c r="D53" s="108" t="n"/>
      <c r="E53" s="108" t="n"/>
      <c r="F53" s="165" t="n"/>
    </row>
    <row r="55" ht="15" customHeight="1" s="93">
      <c r="A55" s="102" t="inlineStr">
        <is>
          <t>7. BEFORE WE BUY — confirm these</t>
        </is>
      </c>
    </row>
    <row r="56" ht="150" customHeight="1" s="93">
      <c r="A56" s="106" t="inlineStr">
        <is>
          <t>1)  Does the Mike's rental already include the regulator and couplers? Purchase List row 22 assumes YES at $0 but flags it unconfirmed. If the answer is NO, set rows 9 and 10 above to Qty 1 and 2 — renting jumps by $129 a burn and Option A becomes cheaper than renting in the FIRST year, before we even own anything.
2)  What coupler type is each keg? Lead Dog (Reno) craft kegs are almost certainly D system. The Mexican Lager may be S system. Kombucha and green tea from Mike's — ask. A wrong coupler is a dead tap for a whole day.
3)  What exactly is the box we already own? A working 1-tap (coil + faucet installed), or an empty cooler? That is the difference between one coil kit and two in Option A.
4)  Coil length. 50' is the standard build and it foams badly when ambient is over 100F. 70' or 120' pours noticeably colder for +$100-180. If we buy, buy long.
5)  Ice is NOT costed anywhere in this workbook — camp lead is covering it on playa.</t>
        </is>
      </c>
    </row>
    <row r="58" ht="15" customHeight="1" s="93">
      <c r="A58" s="106" t="inlineStr">
        <is>
          <t>Prices sampled July 2026: NY Brew Supply (coil kits), BeverageCraft (2-tap box), Kegco (CO2 tank, dual-body regulator), Austin Homebrew (couplers). Treat as ballpark until we have real quotes.</t>
        </is>
      </c>
    </row>
  </sheetData>
  <mergeCells count="4">
    <mergeCell ref="A3:F3"/>
    <mergeCell ref="A58:F58"/>
    <mergeCell ref="A1:F1"/>
    <mergeCell ref="A56:F5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28" customWidth="1" style="92" min="1" max="1"/>
    <col width="10" customWidth="1" style="92" min="2" max="2"/>
    <col width="15" customWidth="1" style="92" min="3" max="3"/>
    <col width="24" customWidth="1" style="92" min="4" max="4"/>
    <col width="9" customWidth="1" style="92" min="5" max="5"/>
    <col width="12" customWidth="1" style="92" min="6" max="6"/>
    <col width="10" customWidth="1" style="92" min="7" max="7"/>
    <col width="12" customWidth="1" style="92" min="8" max="8"/>
    <col width="52" customWidth="1" style="92" min="9" max="9"/>
  </cols>
  <sheetData>
    <row r="1" ht="17.25" customHeight="1" s="93">
      <c r="A1" s="105" t="inlineStr">
        <is>
          <t>Camp Drinks — bulk, self-serve, not bar service</t>
        </is>
      </c>
    </row>
    <row r="3" ht="31.5" customHeight="1" s="93">
      <c r="A3" s="106" t="inlineStr">
        <is>
          <t>Big-batch drinks that live on the camp table, not the bar: caffeine in the morning, electrolytes all day, and two unsweetened iced teas. Quantities are live from the Assumptions tab — yellow cells there drive gallons. These feed the Purchase List rows tagged 'Camp bulk'.</t>
        </is>
      </c>
    </row>
    <row r="5" ht="27.75" customHeight="1" s="93">
      <c r="A5" s="107" t="inlineStr">
        <is>
          <t>Drink</t>
        </is>
      </c>
      <c r="B5" s="107" t="inlineStr">
        <is>
          <t>Gallons</t>
        </is>
      </c>
      <c r="C5" s="107" t="inlineStr">
        <is>
          <t>Servings (10oz)</t>
        </is>
      </c>
      <c r="D5" s="107" t="inlineStr">
        <is>
          <t>What to buy</t>
        </is>
      </c>
      <c r="E5" s="107" t="inlineStr">
        <is>
          <t>Qty</t>
        </is>
      </c>
      <c r="F5" s="107" t="inlineStr">
        <is>
          <t>Unit</t>
        </is>
      </c>
      <c r="G5" s="107" t="inlineStr">
        <is>
          <t>$/unit</t>
        </is>
      </c>
      <c r="H5" s="107" t="inlineStr">
        <is>
          <t>Subtotal</t>
        </is>
      </c>
      <c r="I5" s="107" t="inlineStr">
        <is>
          <t>Note</t>
        </is>
      </c>
    </row>
    <row r="6" ht="33.75" customHeight="1" s="93">
      <c r="A6" s="108" t="inlineStr">
        <is>
          <t>Cold brew coffee</t>
        </is>
      </c>
      <c r="B6" s="171">
        <f>Assumptions!$B$81*Assumptions!$B$82</f>
        <v/>
      </c>
      <c r="C6" s="109">
        <f>B6*128/10</f>
        <v/>
      </c>
      <c r="D6" s="108" t="inlineStr">
        <is>
          <t>Coarse-ground coffee</t>
        </is>
      </c>
      <c r="E6" s="109">
        <f>CEILING(B6*Assumptions!$B$83/Assumptions!$B$84,1)</f>
        <v/>
      </c>
      <c r="F6" s="116" t="inlineStr">
        <is>
          <t>3 lb bags</t>
        </is>
      </c>
      <c r="G6" s="111">
        <f>Assumptions!$B$85</f>
        <v/>
      </c>
      <c r="H6" s="111">
        <f>E6*G6</f>
        <v/>
      </c>
      <c r="I6" s="165" t="inlineStr">
        <is>
          <t>Brewed as concentrate then cut ~1:1. Assumptions B82 sets gallons/day.</t>
        </is>
      </c>
    </row>
    <row r="7" ht="33.75" customHeight="1" s="93">
      <c r="A7" s="108" t="inlineStr">
        <is>
          <t>Electrolyte mix</t>
        </is>
      </c>
      <c r="B7" s="171">
        <f>Assumptions!$B$81*Assumptions!$B$86</f>
        <v/>
      </c>
      <c r="C7" s="109">
        <f>B7*128/10</f>
        <v/>
      </c>
      <c r="D7" s="108" t="inlineStr">
        <is>
          <t>Powder canisters</t>
        </is>
      </c>
      <c r="E7" s="109">
        <f>CEILING(B7/Assumptions!$B$87,1)</f>
        <v/>
      </c>
      <c r="F7" s="116" t="inlineStr">
        <is>
          <t>canisters</t>
        </is>
      </c>
      <c r="G7" s="111">
        <f>Assumptions!$B$88</f>
        <v/>
      </c>
      <c r="H7" s="111">
        <f>E7*G7</f>
        <v/>
      </c>
      <c r="I7" s="165" t="inlineStr">
        <is>
          <t>Gatorade-style 51oz canister, ~6 gal each. Assumptions B86 sets gallons/day.</t>
        </is>
      </c>
    </row>
    <row r="8" ht="33.75" customHeight="1" s="93">
      <c r="A8" s="108" t="inlineStr">
        <is>
          <t>Suan mei tang (sour plum)</t>
        </is>
      </c>
      <c r="B8" s="171">
        <f>Assumptions!$B$135</f>
        <v/>
      </c>
      <c r="C8" s="109">
        <f>B8*128/10</f>
        <v/>
      </c>
      <c r="D8" s="108" t="inlineStr">
        <is>
          <t>Dried ingredient packets</t>
        </is>
      </c>
      <c r="E8" s="109">
        <f>CEILING(B8/Assumptions!$B$136,1)</f>
        <v/>
      </c>
      <c r="F8" s="116" t="inlineStr">
        <is>
          <t>packets</t>
        </is>
      </c>
      <c r="G8" s="111">
        <f>Assumptions!$B$137</f>
        <v/>
      </c>
      <c r="H8" s="111">
        <f>E8*G8</f>
        <v/>
      </c>
      <c r="I8" s="165" t="inlineStr">
        <is>
          <t>Smoked plum, hawthorn, licorice. Simmer, strain, chill. Dark, tart, faintly smoky — the Chinese hot-weather drink. Ships dry, weighs nothing.</t>
        </is>
      </c>
    </row>
    <row r="9" ht="33.75" customHeight="1" s="93">
      <c r="A9" s="108" t="inlineStr">
        <is>
          <t>Mugicha (roasted barley tea)</t>
        </is>
      </c>
      <c r="B9" s="171">
        <f>Assumptions!$B$138</f>
        <v/>
      </c>
      <c r="C9" s="109">
        <f>B9*128/10</f>
        <v/>
      </c>
      <c r="D9" s="108" t="inlineStr">
        <is>
          <t>Teabags</t>
        </is>
      </c>
      <c r="E9" s="109">
        <f>CEILING(B9*Assumptions!$B$139/Assumptions!$B$140,1)</f>
        <v/>
      </c>
      <c r="F9" s="116" t="inlineStr">
        <is>
          <t>boxes</t>
        </is>
      </c>
      <c r="G9" s="111">
        <f>Assumptions!$B$141</f>
        <v/>
      </c>
      <c r="H9" s="111">
        <f>E9*G9</f>
        <v/>
      </c>
      <c r="I9" s="165" t="inlineStr">
        <is>
          <t>Cold-steep overnight, serve ice cold. Zero sugar, zero caffeine — the only unsweetened thing on the whole menu, and the one people will want by day 5.</t>
        </is>
      </c>
    </row>
    <row r="10" ht="15" customHeight="1" s="93">
      <c r="A10" s="112" t="inlineStr">
        <is>
          <t>TOTAL</t>
        </is>
      </c>
      <c r="B10" s="112" t="n"/>
      <c r="C10" s="113">
        <f>SUM(C6:C9)</f>
        <v/>
      </c>
      <c r="D10" s="112" t="n"/>
      <c r="E10" s="112" t="n"/>
      <c r="F10" s="112" t="n"/>
      <c r="G10" s="112" t="n"/>
      <c r="H10" s="115">
        <f>SUM(H6:H9)</f>
        <v/>
      </c>
      <c r="I10" s="112" t="n"/>
    </row>
    <row r="12" ht="30" customHeight="1" s="93">
      <c r="A12" s="106" t="inlineStr">
        <is>
          <t>These four are tagged 'Camp bulk' on the Purchase List, which the Totals tab treats as shared cost — they are not bar drinks and are not counted in the per-drink figures. To change how much we make, edit Assumptions B81/B82/B86/B135/B138.</t>
        </is>
      </c>
    </row>
  </sheetData>
  <mergeCells count="3">
    <mergeCell ref="A1:I1"/>
    <mergeCell ref="A12:I12"/>
    <mergeCell ref="A3:I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34" customWidth="1" style="92" min="1" max="1"/>
    <col width="9" customWidth="1" style="92" min="2" max="2"/>
    <col width="14" customWidth="1" style="92" min="3" max="3"/>
    <col width="11" customWidth="1" style="92" min="4" max="4"/>
    <col width="12" customWidth="1" style="92" min="5" max="5"/>
    <col width="62" customWidth="1" style="92" min="6" max="6"/>
  </cols>
  <sheetData>
    <row r="1" ht="17.25" customHeight="1" s="93">
      <c r="A1" s="105" t="inlineStr">
        <is>
          <t>Bar Add-Ons — no prep, no batching, no recipe</t>
        </is>
      </c>
    </row>
    <row r="3" ht="39.75" customHeight="1" s="93">
      <c r="A3" s="106" t="inlineStr">
        <is>
          <t>Things a bartender can hand over or splash in without stopping to build anything. Yellow cells are editable. These are deliberately NOT counted as servings on the Totals tab — a splash of soda water in an existing drink is not a new drink, and counting them would distort the per-drink costs. The Purchase List carries one roll-up row pointing at this tab, tagged 'Add-on'.</t>
        </is>
      </c>
    </row>
    <row r="5" ht="15" customHeight="1" s="93">
      <c r="A5" s="102" t="inlineStr">
        <is>
          <t>1. MIXERS &amp; MODIFIERS — splash into anything on the menu</t>
        </is>
      </c>
    </row>
    <row r="6" ht="24" customHeight="1" s="93">
      <c r="A6" s="107" t="inlineStr">
        <is>
          <t>Item</t>
        </is>
      </c>
      <c r="B6" s="107" t="inlineStr">
        <is>
          <t>Qty</t>
        </is>
      </c>
      <c r="C6" s="107" t="inlineStr">
        <is>
          <t>Unit</t>
        </is>
      </c>
      <c r="D6" s="107" t="inlineStr">
        <is>
          <t>$ / unit</t>
        </is>
      </c>
      <c r="E6" s="107" t="inlineStr">
        <is>
          <t>Subtotal</t>
        </is>
      </c>
      <c r="F6" s="107" t="inlineStr">
        <is>
          <t>Why it earns the space</t>
        </is>
      </c>
    </row>
    <row r="7" ht="31.5" customHeight="1" s="93">
      <c r="A7" s="108" t="inlineStr">
        <is>
          <t>Tonic water (12oz cans)</t>
        </is>
      </c>
      <c r="B7" s="166" t="n">
        <v>24</v>
      </c>
      <c r="C7" s="116" t="inlineStr">
        <is>
          <t>cans</t>
        </is>
      </c>
      <c r="D7" s="167" t="n">
        <v>0.85</v>
      </c>
      <c r="E7" s="111">
        <f>B7*D7</f>
        <v/>
      </c>
      <c r="F7" s="165" t="inlineStr">
        <is>
          <t>The only bitter thing on the bar. Tonic + lime + salt is a genuinely good NA drink, and it rescues anyone who finds the menu too sweet. Also the obvious partner for the vodka and tequila already stocked.</t>
        </is>
      </c>
    </row>
    <row r="8" ht="31.5" customHeight="1" s="93">
      <c r="A8" s="108" t="inlineStr">
        <is>
          <t>Soda water — service buffer</t>
        </is>
      </c>
      <c r="B8" s="166" t="n">
        <v>48</v>
      </c>
      <c r="C8" s="116" t="inlineStr">
        <is>
          <t>cans</t>
        </is>
      </c>
      <c r="D8" s="167" t="n">
        <v>0.75</v>
      </c>
      <c r="E8" s="111">
        <f>B8*D8</f>
        <v/>
      </c>
      <c r="F8" s="165">
        <f>"ON TOP of the "&amp;TEXT('Other Consumables'!D20,"0")&amp;" cans the recipes and jugs already consume (live figure — Other Consumables D20). Lets anyone lengthen a too-sweet drink, and doubles as plain sparkling water — which by day 4 is what half the camp actually wants."</f>
        <v/>
      </c>
    </row>
    <row r="9" ht="31.5" customHeight="1" s="93">
      <c r="A9" s="108" t="inlineStr">
        <is>
          <t>Ginger beer — buffer</t>
        </is>
      </c>
      <c r="B9" s="166" t="n">
        <v>12</v>
      </c>
      <c r="C9" s="116" t="inlineStr">
        <is>
          <t>cans</t>
        </is>
      </c>
      <c r="D9" s="167" t="n">
        <v>1.25</v>
      </c>
      <c r="E9" s="111">
        <f>B9*D9</f>
        <v/>
      </c>
      <c r="F9" s="165" t="inlineStr">
        <is>
          <t>Beyond the 12 cans SCOBY-Dew needs. Turns any of the six liquors into a mule on request: vodka, whiskey, spiced rum all work. Highest menu-expansion per can on this list.</t>
        </is>
      </c>
    </row>
    <row r="10" ht="31.5" customHeight="1" s="93">
      <c r="A10" s="108" t="inlineStr">
        <is>
          <t>Angostura bitters (4oz)</t>
        </is>
      </c>
      <c r="B10" s="166" t="n">
        <v>1</v>
      </c>
      <c r="C10" s="116" t="inlineStr">
        <is>
          <t>bottle</t>
        </is>
      </c>
      <c r="D10" s="167" t="n">
        <v>9</v>
      </c>
      <c r="E10" s="111">
        <f>B10*D10</f>
        <v/>
      </c>
      <c r="F10" s="165" t="inlineStr">
        <is>
          <t>Best volume-to-value item here — one tiny bottle. Dashes into soda water + lime for a proper NA aperitif, and a couple of dashes rescues any dirty soda that tastes flat or too sweet.</t>
        </is>
      </c>
    </row>
    <row r="12" ht="15" customHeight="1" s="93">
      <c r="A12" s="102" t="inlineStr">
        <is>
          <t>2. STANDALONE — hand someone a cold one, zero labour</t>
        </is>
      </c>
    </row>
    <row r="13" ht="24" customHeight="1" s="93">
      <c r="A13" s="107" t="inlineStr">
        <is>
          <t>Item</t>
        </is>
      </c>
      <c r="B13" s="107" t="inlineStr">
        <is>
          <t>Qty</t>
        </is>
      </c>
      <c r="C13" s="107" t="inlineStr">
        <is>
          <t>Unit</t>
        </is>
      </c>
      <c r="D13" s="107" t="inlineStr">
        <is>
          <t>$ / unit</t>
        </is>
      </c>
      <c r="E13" s="107" t="inlineStr">
        <is>
          <t>Subtotal</t>
        </is>
      </c>
      <c r="F13" s="107" t="inlineStr">
        <is>
          <t>Why it earns the space</t>
        </is>
      </c>
    </row>
    <row r="14" ht="31.5" customHeight="1" s="93">
      <c r="A14" s="108" t="inlineStr">
        <is>
          <t>Red Bull (8.4oz)</t>
        </is>
      </c>
      <c r="B14" s="166" t="n">
        <v>24</v>
      </c>
      <c r="C14" s="116" t="inlineStr">
        <is>
          <t>cans</t>
        </is>
      </c>
      <c r="D14" s="167" t="n">
        <v>1.6</v>
      </c>
      <c r="E14" s="111">
        <f>B14*D14</f>
        <v/>
      </c>
      <c r="F14" s="165" t="inlineStr">
        <is>
          <t>Buy all 24 — HALF go into Catboy Piss, the Saturday-only reveal (Recipes row 16, 25 servings x 4oz = 12 cans). The other 12 are standalone / vodka-Red Bull. Worth a sign: caffeine + alcohol + heat dehydrates hard, so pair it with a water.</t>
        </is>
      </c>
    </row>
    <row r="15" ht="31.5" customHeight="1" s="93">
      <c r="A15" s="118" t="inlineStr">
        <is>
          <t>(non-alcoholic beer — dropped)</t>
        </is>
      </c>
      <c r="B15" s="166" t="n">
        <v>0</v>
      </c>
      <c r="C15" s="116" t="n"/>
      <c r="D15" s="167" t="n">
        <v>0</v>
      </c>
      <c r="E15" s="111" t="n">
        <v>0</v>
      </c>
      <c r="F15" s="165" t="n"/>
    </row>
    <row r="16" ht="31.5" customHeight="1" s="93">
      <c r="A16" s="108" t="inlineStr">
        <is>
          <t>Coconut water</t>
        </is>
      </c>
      <c r="B16" s="166" t="n">
        <v>12</v>
      </c>
      <c r="C16" s="116" t="inlineStr">
        <is>
          <t>cans</t>
        </is>
      </c>
      <c r="D16" s="167" t="n">
        <v>1.25</v>
      </c>
      <c r="E16" s="111">
        <f>B16*D16</f>
        <v/>
      </c>
      <c r="F16" s="165" t="inlineStr">
        <is>
          <t>Real electrolytes, drinkable straight, and a decent mixer with the coconut rum. The best hangover item on the list.</t>
        </is>
      </c>
    </row>
    <row r="18" ht="15" customHeight="1" s="93">
      <c r="A18" s="112" t="inlineStr">
        <is>
          <t>TOTAL — BAR ADD-ONS</t>
        </is>
      </c>
      <c r="B18" s="112" t="n"/>
      <c r="C18" s="112" t="n"/>
      <c r="D18" s="112" t="n"/>
      <c r="E18" s="115">
        <f>SUM(E7:E10)+SUM(E14:E16)</f>
        <v/>
      </c>
      <c r="F18" s="112" t="n"/>
    </row>
    <row r="20" ht="15" customHeight="1" s="93">
      <c r="A20" s="102" t="inlineStr">
        <is>
          <t>3. FREE MENU EXTENSIONS — we already own everything for these</t>
        </is>
      </c>
    </row>
    <row r="21" ht="24" customHeight="1" s="93">
      <c r="A21" s="107" t="inlineStr">
        <is>
          <t>Item</t>
        </is>
      </c>
      <c r="B21" s="107" t="inlineStr">
        <is>
          <t>Qty</t>
        </is>
      </c>
      <c r="C21" s="107" t="inlineStr">
        <is>
          <t>Unit</t>
        </is>
      </c>
      <c r="D21" s="107" t="inlineStr">
        <is>
          <t>$ / unit</t>
        </is>
      </c>
      <c r="E21" s="107" t="inlineStr">
        <is>
          <t>Subtotal</t>
        </is>
      </c>
      <c r="F21" s="107" t="inlineStr">
        <is>
          <t>Why it earns the space</t>
        </is>
      </c>
    </row>
    <row r="22" ht="39.75" customHeight="1" s="93">
      <c r="A22" s="173" t="inlineStr">
        <is>
          <t>Italian sodas — ON THE MENU BOARD</t>
        </is>
      </c>
      <c r="B22" s="174" t="n">
        <v>0</v>
      </c>
      <c r="C22" s="175" t="inlineStr">
        <is>
          <t>—</t>
        </is>
      </c>
      <c r="D22" s="176" t="n">
        <v>0</v>
      </c>
      <c r="E22" s="176" t="n">
        <v>0</v>
      </c>
      <c r="F22" s="177" t="inlineStr">
        <is>
          <t>Any Torani flavour + soda water + a squeeze of lime. We already stock six syrups (vanilla, cherry, peach, watermelon, lemon, plus the purees). That is six more drinks on the board for zero dollars and zero prep.</t>
        </is>
      </c>
    </row>
    <row r="23" ht="39.75" customHeight="1" s="93">
      <c r="A23" s="173" t="inlineStr">
        <is>
          <t>Pickle brine shots — ON THE MENU BOARD</t>
        </is>
      </c>
      <c r="B23" s="174" t="n">
        <v>0</v>
      </c>
      <c r="C23" s="175" t="inlineStr">
        <is>
          <t>—</t>
        </is>
      </c>
      <c r="D23" s="176" t="n">
        <v>0</v>
      </c>
      <c r="E23" s="176" t="n">
        <v>0</v>
      </c>
      <c r="F23" s="177" t="inlineStr">
        <is>
          <t>The pickle jars are already bought for A Ginger's Pickle. Brine is salt and electrolytes; it has a cult following in heat and costs nothing extra.</t>
        </is>
      </c>
    </row>
    <row r="24" ht="39.75" customHeight="1" s="93">
      <c r="A24" s="173" t="inlineStr">
        <is>
          <t>Salted soda water + lime</t>
        </is>
      </c>
      <c r="B24" s="174" t="n">
        <v>0</v>
      </c>
      <c r="C24" s="175" t="inlineStr">
        <is>
          <t>—</t>
        </is>
      </c>
      <c r="D24" s="176" t="n">
        <v>0</v>
      </c>
      <c r="E24" s="176" t="n">
        <v>0</v>
      </c>
      <c r="F24" s="177" t="inlineStr">
        <is>
          <t>Three things already on the bar. The simplest hydration drink there is, and the one to push on anyone who looks overheated.</t>
        </is>
      </c>
    </row>
    <row r="26" ht="27.75" customHeight="1" s="93">
      <c r="A26" s="106" t="inlineStr">
        <is>
          <t>Worth putting these three on the menu board — they cost nothing, need no prep, and they are the answers to 'do you have anything not sweet?', which is the question the bar will get most often by Wednesday.</t>
        </is>
      </c>
    </row>
  </sheetData>
  <mergeCells count="3">
    <mergeCell ref="A3:F3"/>
    <mergeCell ref="A26:F26"/>
    <mergeCell ref="A1:F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92" min="1" max="1"/>
    <col width="74" customWidth="1" style="92" min="2" max="2"/>
    <col width="18" customWidth="1" style="92" min="3" max="3"/>
  </cols>
  <sheetData>
    <row r="1" ht="17.25" customHeight="1" s="93">
      <c r="A1" s="105" t="inlineStr">
        <is>
          <t>Menu Board — what goes on the signage</t>
        </is>
      </c>
    </row>
    <row r="3" ht="15" customHeight="1" s="93">
      <c r="A3" s="106" t="inlineStr">
        <is>
          <t>Drink names pull live from the Recipes and Daily Schedule tabs, so renames flow through here. Write the board from this. Yellow = do not reveal until Saturday.</t>
        </is>
      </c>
    </row>
    <row r="5" ht="15" customHeight="1" s="93">
      <c r="A5" s="102" t="inlineStr">
        <is>
          <t>ALL WEEK — DIRTY SODAS (built to order)</t>
        </is>
      </c>
    </row>
    <row r="6" ht="15" customHeight="1" s="93">
      <c r="A6" s="107" t="inlineStr">
        <is>
          <t>Drink</t>
        </is>
      </c>
      <c r="B6" s="107" t="inlineStr">
        <is>
          <t>What's in it</t>
        </is>
      </c>
      <c r="C6" s="107" t="inlineStr">
        <is>
          <t>Liquor option</t>
        </is>
      </c>
    </row>
    <row r="7" ht="25.5" customHeight="1" s="93">
      <c r="A7" s="178">
        <f>Recipes!A3</f>
        <v/>
      </c>
      <c r="B7" s="165" t="n"/>
      <c r="C7" s="165">
        <f>Recipes!M3</f>
        <v/>
      </c>
    </row>
    <row r="8" ht="25.5" customHeight="1" s="93">
      <c r="A8" s="178">
        <f>Recipes!A4</f>
        <v/>
      </c>
      <c r="B8" s="165" t="n"/>
      <c r="C8" s="165">
        <f>Recipes!M4</f>
        <v/>
      </c>
    </row>
    <row r="9" ht="25.5" customHeight="1" s="93">
      <c r="A9" s="178">
        <f>Recipes!A5</f>
        <v/>
      </c>
      <c r="B9" s="165" t="n"/>
      <c r="C9" s="165">
        <f>Recipes!M5</f>
        <v/>
      </c>
    </row>
    <row r="10" ht="25.5" customHeight="1" s="93">
      <c r="A10" s="178">
        <f>Recipes!A6</f>
        <v/>
      </c>
      <c r="B10" s="165" t="n"/>
      <c r="C10" s="165">
        <f>Recipes!M6</f>
        <v/>
      </c>
    </row>
    <row r="11" ht="25.5" customHeight="1" s="93">
      <c r="A11" s="178">
        <f>Recipes!A7</f>
        <v/>
      </c>
      <c r="B11" s="165" t="n"/>
      <c r="C11" s="165">
        <f>Recipes!M7</f>
        <v/>
      </c>
    </row>
    <row r="12" ht="25.5" customHeight="1" s="93">
      <c r="A12" s="178">
        <f>Recipes!A8</f>
        <v/>
      </c>
      <c r="B12" s="165" t="n"/>
      <c r="C12" s="165">
        <f>Recipes!M8</f>
        <v/>
      </c>
    </row>
    <row r="13" ht="25.5" customHeight="1" s="93">
      <c r="A13" s="178">
        <f>Recipes!A9</f>
        <v/>
      </c>
      <c r="B13" s="165" t="n"/>
      <c r="C13" s="165">
        <f>Recipes!M9</f>
        <v/>
      </c>
    </row>
    <row r="14" ht="25.5" customHeight="1" s="93">
      <c r="A14" s="178">
        <f>Recipes!A10</f>
        <v/>
      </c>
      <c r="B14" s="165" t="n"/>
      <c r="C14" s="165">
        <f>Recipes!M10</f>
        <v/>
      </c>
    </row>
    <row r="15" ht="25.5" customHeight="1" s="93">
      <c r="A15" s="178">
        <f>Recipes!A11</f>
        <v/>
      </c>
      <c r="B15" s="165" t="n"/>
      <c r="C15" s="165">
        <f>Recipes!M11</f>
        <v/>
      </c>
    </row>
    <row r="16" ht="25.5" customHeight="1" s="93">
      <c r="A16" s="178">
        <f>Recipes!A12</f>
        <v/>
      </c>
      <c r="B16" s="165" t="n"/>
      <c r="C16" s="165">
        <f>Recipes!M12</f>
        <v/>
      </c>
    </row>
    <row r="17" ht="25.5" customHeight="1" s="93">
      <c r="A17" s="178">
        <f>Recipes!A14</f>
        <v/>
      </c>
      <c r="B17" s="165" t="n"/>
      <c r="C17" s="165">
        <f>Recipes!M14</f>
        <v/>
      </c>
    </row>
    <row r="18" ht="25.5" customHeight="1" s="93">
      <c r="A18" s="178">
        <f>Recipes!A17</f>
        <v/>
      </c>
      <c r="B18" s="165" t="n"/>
      <c r="C18" s="165">
        <f>Recipes!M17</f>
        <v/>
      </c>
    </row>
    <row r="19" ht="25.5" customHeight="1" s="93">
      <c r="A19" s="178">
        <f>Recipes!A18</f>
        <v/>
      </c>
      <c r="B19" s="165" t="n"/>
      <c r="C19" s="165">
        <f>Recipes!M18</f>
        <v/>
      </c>
    </row>
    <row r="20" ht="15" customHeight="1" s="93"/>
    <row r="21" ht="15" customHeight="1" s="93">
      <c r="A21" s="102" t="inlineStr">
        <is>
          <t>NIGHTLY JUG — one per night, while it lasts</t>
        </is>
      </c>
    </row>
    <row r="22" ht="15" customHeight="1" s="93">
      <c r="A22" s="107" t="inlineStr">
        <is>
          <t>Drink</t>
        </is>
      </c>
      <c r="B22" s="107" t="inlineStr">
        <is>
          <t>What's in it</t>
        </is>
      </c>
      <c r="C22" s="107" t="inlineStr">
        <is>
          <t>Liquor option</t>
        </is>
      </c>
    </row>
    <row r="23" ht="25.5" customHeight="1" s="93">
      <c r="A23" s="178">
        <f>'Daily Schedule'!C4</f>
        <v/>
      </c>
      <c r="B23" s="165">
        <f>'Daily Schedule'!A4</f>
        <v/>
      </c>
      <c r="C23" s="165">
        <f>IF('Daily Schedule'!Q4="",'Daily Schedule'!P4,'Daily Schedule'!P4&amp;" / "&amp;'Daily Schedule'!Q4)</f>
        <v/>
      </c>
    </row>
    <row r="24" ht="25.5" customHeight="1" s="93">
      <c r="A24" s="178">
        <f>'Daily Schedule'!C5</f>
        <v/>
      </c>
      <c r="B24" s="165">
        <f>'Daily Schedule'!A5</f>
        <v/>
      </c>
      <c r="C24" s="165">
        <f>IF('Daily Schedule'!Q5="",'Daily Schedule'!P5,'Daily Schedule'!P5&amp;" / "&amp;'Daily Schedule'!Q5)</f>
        <v/>
      </c>
    </row>
    <row r="25" ht="25.5" customHeight="1" s="93">
      <c r="A25" s="178">
        <f>'Daily Schedule'!C6</f>
        <v/>
      </c>
      <c r="B25" s="165">
        <f>'Daily Schedule'!A6</f>
        <v/>
      </c>
      <c r="C25" s="165">
        <f>IF('Daily Schedule'!Q6="",'Daily Schedule'!P6,'Daily Schedule'!P6&amp;" / "&amp;'Daily Schedule'!Q6)</f>
        <v/>
      </c>
    </row>
    <row r="26" ht="25.5" customHeight="1" s="93">
      <c r="A26" s="178">
        <f>'Daily Schedule'!C7</f>
        <v/>
      </c>
      <c r="B26" s="165">
        <f>'Daily Schedule'!A7</f>
        <v/>
      </c>
      <c r="C26" s="165">
        <f>IF('Daily Schedule'!Q7="",'Daily Schedule'!P7,'Daily Schedule'!P7&amp;" / "&amp;'Daily Schedule'!Q7)</f>
        <v/>
      </c>
    </row>
    <row r="27" ht="25.5" customHeight="1" s="93">
      <c r="A27" s="178">
        <f>'Daily Schedule'!C8</f>
        <v/>
      </c>
      <c r="B27" s="165">
        <f>'Daily Schedule'!A8</f>
        <v/>
      </c>
      <c r="C27" s="165">
        <f>IF('Daily Schedule'!Q8="",'Daily Schedule'!P8,'Daily Schedule'!P8&amp;" / "&amp;'Daily Schedule'!Q8)</f>
        <v/>
      </c>
    </row>
    <row r="28" ht="25.5" customHeight="1" s="93">
      <c r="A28" s="178">
        <f>'Daily Schedule'!C9</f>
        <v/>
      </c>
      <c r="B28" s="165">
        <f>'Daily Schedule'!A9</f>
        <v/>
      </c>
      <c r="C28" s="165">
        <f>IF('Daily Schedule'!Q9="",'Daily Schedule'!P9,'Daily Schedule'!P9&amp;" / "&amp;'Daily Schedule'!Q9)</f>
        <v/>
      </c>
    </row>
    <row r="29" ht="25.5" customHeight="1" s="93">
      <c r="A29" s="178">
        <f>'Daily Schedule'!C10</f>
        <v/>
      </c>
      <c r="B29" s="165">
        <f>'Daily Schedule'!A10</f>
        <v/>
      </c>
      <c r="C29" s="165">
        <f>IF('Daily Schedule'!Q10="",'Daily Schedule'!P10,'Daily Schedule'!P10&amp;" / "&amp;'Daily Schedule'!Q10)</f>
        <v/>
      </c>
    </row>
    <row r="30" ht="15" customHeight="1" s="93"/>
    <row r="31" ht="15" customHeight="1" s="93">
      <c r="A31" s="102" t="inlineStr">
        <is>
          <t>ON TAP — two lines, rotating (see Keg Rotation)</t>
        </is>
      </c>
    </row>
    <row r="32" ht="15" customHeight="1" s="93">
      <c r="A32" s="107" t="inlineStr">
        <is>
          <t>Drink</t>
        </is>
      </c>
      <c r="B32" s="107" t="inlineStr">
        <is>
          <t>What's in it</t>
        </is>
      </c>
      <c r="C32" s="107" t="inlineStr">
        <is>
          <t>Liquor option</t>
        </is>
      </c>
    </row>
    <row r="33" ht="25.5" customHeight="1" s="93">
      <c r="A33" s="178">
        <f>Kegs!A6</f>
        <v/>
      </c>
      <c r="B33" s="165" t="n"/>
      <c r="C33" s="165" t="n"/>
    </row>
    <row r="34" ht="25.5" customHeight="1" s="93">
      <c r="A34" s="178">
        <f>Kegs!A7</f>
        <v/>
      </c>
      <c r="B34" s="165" t="n"/>
      <c r="C34" s="165" t="n"/>
    </row>
    <row r="35" ht="25.5" customHeight="1" s="93">
      <c r="A35" s="178">
        <f>Kegs!A8</f>
        <v/>
      </c>
      <c r="B35" s="165" t="n"/>
      <c r="C35" s="165" t="n"/>
    </row>
    <row r="36" ht="25.5" customHeight="1" s="93">
      <c r="A36" s="178">
        <f>Kegs!A9</f>
        <v/>
      </c>
      <c r="B36" s="165" t="n"/>
      <c r="C36" s="165" t="n"/>
    </row>
    <row r="37" ht="25.5" customHeight="1" s="93">
      <c r="A37" s="178">
        <f>Kegs!A10</f>
        <v/>
      </c>
      <c r="B37" s="165" t="n"/>
      <c r="C37" s="165" t="n"/>
    </row>
    <row r="38" ht="25.5" customHeight="1" s="93">
      <c r="A38" s="178">
        <f>Kegs!A11</f>
        <v/>
      </c>
      <c r="B38" s="165" t="n"/>
      <c r="C38" s="165" t="n"/>
    </row>
    <row r="39" ht="25.5" customHeight="1" s="93">
      <c r="A39" s="178">
        <f>Kegs!A12</f>
        <v/>
      </c>
      <c r="B39" s="165" t="n"/>
      <c r="C39" s="165" t="n"/>
    </row>
    <row r="40" ht="15" customHeight="1" s="93"/>
    <row r="41" ht="15" customHeight="1" s="93">
      <c r="A41" s="102" t="inlineStr">
        <is>
          <t>ALWAYS AVAILABLE — no wait, no build</t>
        </is>
      </c>
    </row>
    <row r="42" ht="15" customHeight="1" s="93">
      <c r="A42" s="107" t="inlineStr">
        <is>
          <t>Drink</t>
        </is>
      </c>
      <c r="B42" s="107" t="inlineStr">
        <is>
          <t>What's in it</t>
        </is>
      </c>
      <c r="C42" s="107" t="inlineStr">
        <is>
          <t>Liquor option</t>
        </is>
      </c>
    </row>
    <row r="43" ht="25.5" customHeight="1" s="93">
      <c r="A43" s="179" t="inlineStr">
        <is>
          <t>Italian soda</t>
        </is>
      </c>
      <c r="B43" s="177" t="inlineStr">
        <is>
          <t>Any syrup we have + soda water + lime. Vanilla, cherry, peach, watermelon, lemon, melon.</t>
        </is>
      </c>
      <c r="C43" s="177" t="n"/>
    </row>
    <row r="44" ht="25.5" customHeight="1" s="93">
      <c r="A44" s="179" t="inlineStr">
        <is>
          <t>Pickle brine shot</t>
        </is>
      </c>
      <c r="B44" s="177" t="inlineStr">
        <is>
          <t>Straight from the jar. Salt and electrolytes.</t>
        </is>
      </c>
      <c r="C44" s="177" t="n"/>
    </row>
    <row r="45" ht="25.5" customHeight="1" s="93">
      <c r="A45" s="179" t="inlineStr">
        <is>
          <t>Salted soda water + lime</t>
        </is>
      </c>
      <c r="B45" s="177" t="inlineStr">
        <is>
          <t>The hydration one. Push it on anyone looking cooked.</t>
        </is>
      </c>
      <c r="C45" s="177" t="n"/>
    </row>
    <row r="46" ht="25.5" customHeight="1" s="93">
      <c r="A46" s="179" t="inlineStr">
        <is>
          <t>Tonic + lime</t>
        </is>
      </c>
      <c r="B46" s="177" t="inlineStr">
        <is>
          <t>Bitter, barely sweet.</t>
        </is>
      </c>
      <c r="C46" s="177" t="n"/>
    </row>
    <row r="47" ht="25.5" customHeight="1" s="93">
      <c r="A47" s="179" t="inlineStr">
        <is>
          <t>Red Bull</t>
        </is>
      </c>
      <c r="B47" s="177" t="inlineStr">
        <is>
          <t>Cold, straight.</t>
        </is>
      </c>
      <c r="C47" s="177" t="inlineStr">
        <is>
          <t>Vodka</t>
        </is>
      </c>
    </row>
    <row r="48" ht="25.5" customHeight="1" s="93">
      <c r="A48" s="179" t="inlineStr">
        <is>
          <t>Coconut water</t>
        </is>
      </c>
      <c r="B48" s="177" t="inlineStr">
        <is>
          <t>Real electrolytes.</t>
        </is>
      </c>
      <c r="C48" s="177" t="inlineStr">
        <is>
          <t>Coconut Rum</t>
        </is>
      </c>
    </row>
    <row r="49" ht="15" customHeight="1" s="93"/>
    <row r="50" ht="15" customHeight="1" s="93">
      <c r="A50" s="102" t="inlineStr">
        <is>
          <t>SATURDAY ONLY — do not reveal early</t>
        </is>
      </c>
    </row>
    <row r="51" ht="15" customHeight="1" s="93">
      <c r="A51" s="107" t="inlineStr">
        <is>
          <t>Drink</t>
        </is>
      </c>
      <c r="B51" s="107" t="inlineStr">
        <is>
          <t>What's in it</t>
        </is>
      </c>
      <c r="C51" s="107" t="inlineStr">
        <is>
          <t>Liquor option</t>
        </is>
      </c>
    </row>
    <row r="52" ht="25.5" customHeight="1" s="93">
      <c r="A52" s="180">
        <f>Recipes!A16</f>
        <v/>
      </c>
      <c r="B52" s="181" t="inlineStr">
        <is>
          <t>Red Bull + passion fruit + lime, Tajin rim.</t>
        </is>
      </c>
      <c r="C52" s="181">
        <f>Recipes!M16</f>
        <v/>
      </c>
    </row>
    <row r="53" ht="25.5" customHeight="1" s="93">
      <c r="A53" s="180">
        <f>Recipes!A15</f>
        <v/>
      </c>
      <c r="B53" s="181" t="inlineStr">
        <is>
          <t>Squirt + aloe + melon + lime, salted. Green, and it has bits in it.</t>
        </is>
      </c>
      <c r="C53" s="181">
        <f>Recipes!M15</f>
        <v/>
      </c>
    </row>
    <row r="54" ht="15" customHeight="1" s="93">
      <c r="A54" s="180">
        <f>Recipes!A13</f>
        <v/>
      </c>
      <c r="B54" s="181" t="inlineStr">
        <is>
          <t>Green tea + orange juice + sakura syrup, over ice. Mint or cucumber.</t>
        </is>
      </c>
      <c r="C54" s="181">
        <f>IF(Recipes!M13="","",Recipes!M13)</f>
        <v/>
      </c>
    </row>
    <row r="55" ht="15" customHeight="1" s="93">
      <c r="A55" s="180">
        <f>'Daily Schedule'!C11</f>
        <v/>
      </c>
      <c r="B55" s="181" t="inlineStr">
        <is>
          <t>Leftover-alcohol punch. The 2023 mud party tradition, revived.</t>
        </is>
      </c>
      <c r="C55" s="181" t="n"/>
    </row>
    <row r="56" ht="15" customHeight="1" s="93"/>
    <row r="57" ht="15" customHeight="1" s="93">
      <c r="A57" s="106" t="inlineStr">
        <is>
          <t>Everything in green needs no prep and no extra shopping — they are the answer to 'do you have anything not sweet?'. Everything in yellow stays off the board until Saturday.</t>
        </is>
      </c>
    </row>
    <row r="58" ht="15" customHeight="1" s="93"/>
  </sheetData>
  <mergeCells count="3">
    <mergeCell ref="A1:C1"/>
    <mergeCell ref="A57:C57"/>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2026-07-31T09:25:59Z</dcterms:modified>
  <cp:revision>18</cp:revision>
</cp:coreProperties>
</file>